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11701ea9f27640/Documents/GitHub/Options_Gamma_Screener/"/>
    </mc:Choice>
  </mc:AlternateContent>
  <xr:revisionPtr revIDLastSave="34" documentId="8_{835722F4-3F03-4354-8F0C-714947D5DA93}" xr6:coauthVersionLast="47" xr6:coauthVersionMax="47" xr10:uidLastSave="{4B812C8D-23CD-4229-A718-922EB686983F}"/>
  <bookViews>
    <workbookView xWindow="-120" yWindow="-120" windowWidth="38640" windowHeight="15720" activeTab="3" xr2:uid="{AA27B4F1-CA87-4D6B-ADA8-E6CB695411E2}"/>
  </bookViews>
  <sheets>
    <sheet name="Universe" sheetId="1" r:id="rId1"/>
    <sheet name="RawData" sheetId="8" r:id="rId2"/>
    <sheet name="RawData_Query" sheetId="5" r:id="rId3"/>
    <sheet name="LogicEngine" sheetId="3" r:id="rId4"/>
    <sheet name="Dashboard" sheetId="4" r:id="rId5"/>
  </sheets>
  <definedNames>
    <definedName name="ExternalData_3" localSheetId="1">RawData!$A$1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3" l="1"/>
  <c r="K2" i="3"/>
  <c r="J2" i="3"/>
  <c r="I2" i="3"/>
  <c r="H2" i="3"/>
  <c r="G2" i="3"/>
  <c r="F2" i="3"/>
  <c r="E2" i="3"/>
  <c r="D2" i="3"/>
  <c r="O2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2" i="3"/>
  <c r="C2" i="3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2" i="3"/>
  <c r="M2" i="3" l="1"/>
  <c r="N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D94148-B701-4B95-940D-DA8676FDBDB9}" keepAlive="1" name="Query - ApiKey" description="Connection to the 'ApiKey' query in the workbook." type="5" refreshedVersion="0" background="1">
    <dbPr connection="Provider=Microsoft.Mashup.OleDb.1;Data Source=$Workbook$;Location=ApiKey;Extended Properties=&quot;&quot;" command="SELECT * FROM [ApiKey]"/>
  </connection>
  <connection id="2" xr16:uid="{4475B288-6608-4951-90A7-91131FB53473}" keepAlive="1" name="Query - fnGetTickerData" description="Connection to the 'fnGetTickerData' query in the workbook." type="5" refreshedVersion="8" background="1" saveData="1">
    <dbPr connection="Provider=Microsoft.Mashup.OleDb.1;Data Source=$Workbook$;Location=fnGetTickerData;Extended Properties=&quot;&quot;" command="SELECT * FROM [fnGetTickerData]"/>
  </connection>
  <connection id="3" xr16:uid="{047D833E-31F5-4067-887A-65F4AD4FA049}" keepAlive="1" name="Query - fnGetUW" description="Connection to the 'fnGetUW' query in the workbook." type="5" refreshedVersion="0" background="1">
    <dbPr connection="Provider=Microsoft.Mashup.OleDb.1;Data Source=$Workbook$;Location=fnGetUW;Extended Properties=&quot;&quot;" command="SELECT * FROM [fnGetUW]"/>
  </connection>
  <connection id="4" xr16:uid="{0E8413EB-3C96-47B8-BA4D-5B389B1F113D}" keepAlive="1" name="Query - RawData_Query" description="Connection to the 'RawData_Query' query in the workbook." type="5" refreshedVersion="0" background="1" saveData="1">
    <dbPr connection="Provider=Microsoft.Mashup.OleDb.1;Data Source=$Workbook$;Location=RawData_Query;Extended Properties=&quot;&quot;" command="SELECT * FROM [RawData_Query]"/>
  </connection>
</connections>
</file>

<file path=xl/sharedStrings.xml><?xml version="1.0" encoding="utf-8"?>
<sst xmlns="http://schemas.openxmlformats.org/spreadsheetml/2006/main" count="491" uniqueCount="108">
  <si>
    <t>IWM</t>
  </si>
  <si>
    <t>SPY</t>
  </si>
  <si>
    <t>QQQ</t>
  </si>
  <si>
    <t>NFLX</t>
  </si>
  <si>
    <t>AMZN</t>
  </si>
  <si>
    <t>AAPL</t>
  </si>
  <si>
    <t>TSLA</t>
  </si>
  <si>
    <t>META</t>
  </si>
  <si>
    <t>PLTR</t>
  </si>
  <si>
    <t>GOOG</t>
  </si>
  <si>
    <t>MSFT</t>
  </si>
  <si>
    <t>NVDA</t>
  </si>
  <si>
    <t>FCX</t>
  </si>
  <si>
    <t>CCJ</t>
  </si>
  <si>
    <t>NEM</t>
  </si>
  <si>
    <t>VALE</t>
  </si>
  <si>
    <t>IBM</t>
  </si>
  <si>
    <t>CRWV</t>
  </si>
  <si>
    <t>CSCO</t>
  </si>
  <si>
    <t>PANW</t>
  </si>
  <si>
    <t>ORCL</t>
  </si>
  <si>
    <t>NET</t>
  </si>
  <si>
    <t>CRWD</t>
  </si>
  <si>
    <t>CRM</t>
  </si>
  <si>
    <t>NOW</t>
  </si>
  <si>
    <t>ADBE</t>
  </si>
  <si>
    <t>AAOI</t>
  </si>
  <si>
    <t>QCOM</t>
  </si>
  <si>
    <t>MU</t>
  </si>
  <si>
    <t>TSM</t>
  </si>
  <si>
    <t>AMAT</t>
  </si>
  <si>
    <t>AMD</t>
  </si>
  <si>
    <t>INTC</t>
  </si>
  <si>
    <t>SMCI</t>
  </si>
  <si>
    <t>AVGO</t>
  </si>
  <si>
    <t>APLD</t>
  </si>
  <si>
    <t>BE</t>
  </si>
  <si>
    <t>XLE</t>
  </si>
  <si>
    <t>RKLB</t>
  </si>
  <si>
    <t>RIOT</t>
  </si>
  <si>
    <t>COIN</t>
  </si>
  <si>
    <t>MSTR</t>
  </si>
  <si>
    <t>SNOW</t>
  </si>
  <si>
    <t>LLY</t>
  </si>
  <si>
    <t>JNJ</t>
  </si>
  <si>
    <t>UNH</t>
  </si>
  <si>
    <t>TGT</t>
  </si>
  <si>
    <t>HD</t>
  </si>
  <si>
    <t>COST</t>
  </si>
  <si>
    <t>WMT</t>
  </si>
  <si>
    <t>MS</t>
  </si>
  <si>
    <t>GS</t>
  </si>
  <si>
    <t>JPM</t>
  </si>
  <si>
    <t>BAC</t>
  </si>
  <si>
    <t>SCHW</t>
  </si>
  <si>
    <t>SOFI</t>
  </si>
  <si>
    <t>WFC</t>
  </si>
  <si>
    <t>RIVN</t>
  </si>
  <si>
    <t>XLF</t>
  </si>
  <si>
    <t>XLK</t>
  </si>
  <si>
    <t>Ticker</t>
  </si>
  <si>
    <t>Tier</t>
  </si>
  <si>
    <t>TierWeight</t>
  </si>
  <si>
    <t>GammaRegime</t>
  </si>
  <si>
    <t>DeltaLean</t>
  </si>
  <si>
    <t>VannaBias</t>
  </si>
  <si>
    <t>CharmBias</t>
  </si>
  <si>
    <t>CallWallFlag</t>
  </si>
  <si>
    <t>PutWallFlag</t>
  </si>
  <si>
    <t>FlipFlag</t>
  </si>
  <si>
    <t>BullScore</t>
  </si>
  <si>
    <t>BearScore</t>
  </si>
  <si>
    <t>TradeBias</t>
  </si>
  <si>
    <t>Conviction</t>
  </si>
  <si>
    <t>Notes</t>
  </si>
  <si>
    <t>Long Gamma</t>
  </si>
  <si>
    <t>Dealers Long (Sell Rips)</t>
  </si>
  <si>
    <t>Upside Drift</t>
  </si>
  <si>
    <t>Sell Into Close</t>
  </si>
  <si>
    <t>Below Flip</t>
  </si>
  <si>
    <t>Call</t>
  </si>
  <si>
    <t>Bias: Call | Regime: Long Gamma | Delta: Dealers Long (Sell Rips) | Vanna: Upside Drift | Charm: Sell Into Close | Flip: Below Flip</t>
  </si>
  <si>
    <t>Short Gamma</t>
  </si>
  <si>
    <t>Put</t>
  </si>
  <si>
    <t>Bias: Put | Regime: Short Gamma | Delta: Dealers Long (Sell Rips) | Vanna: Upside Drift | Charm: Sell Into Close | Flip: Below Flip</t>
  </si>
  <si>
    <t>Downside Drift</t>
  </si>
  <si>
    <t>Bias: Put | Regime: Short Gamma | Delta: Dealers Long (Sell Rips) | Vanna: Downside Drift | Charm: Sell Into Close | Flip: Below Flip</t>
  </si>
  <si>
    <t>Above Flip</t>
  </si>
  <si>
    <t>Bias: Call | Regime: Long Gamma | Delta: Dealers Long (Sell Rips) | Vanna: Upside Drift | Charm: Sell Into Close | Flip: Above Flip</t>
  </si>
  <si>
    <t>Downside Pressure</t>
  </si>
  <si>
    <t>Bias: Put | Regime: Long Gamma | Delta: Dealers Long (Sell Rips) | Vanna: Downside Pressure | Charm: Sell Into Close | Flip: Below Flip</t>
  </si>
  <si>
    <t>Bias: Put | Regime: Short Gamma | Delta: Dealers Long (Sell Rips) | Vanna: Downside Pressure | Charm: Sell Into Close | Flip: Below Flip</t>
  </si>
  <si>
    <t/>
  </si>
  <si>
    <t>Bias: Put | Regime: Short Gamma | Delta: Dealers Long (Sell Rips) | Vanna:  | Charm: Sell Into Close | Flip: Below Flip</t>
  </si>
  <si>
    <t>Dealers Short (Buy Rips)</t>
  </si>
  <si>
    <t>Upside Pressure</t>
  </si>
  <si>
    <t>Bias: Call | Regime: Short Gamma | Delta: Dealers Short (Buy Rips) | Vanna: Upside Pressure | Charm: Sell Into Close | Flip: Below Flip</t>
  </si>
  <si>
    <t>Bias: Put | Regime: Short Gamma | Delta: Dealers Short (Buy Rips) | Vanna: Downside Pressure | Charm: Sell Into Close | Flip: Below Flip</t>
  </si>
  <si>
    <t>Bias: Put | Regime: Short Gamma | Delta: Dealers Long (Sell Rips) | Vanna: Upside Pressure | Charm: Sell Into Close | Flip: Below Flip</t>
  </si>
  <si>
    <t>Buy Into Close</t>
  </si>
  <si>
    <t>Bias: Put | Regime: Short Gamma | Delta: Dealers Long (Sell Rips) | Vanna: Upside Pressure | Charm: Buy Into Close | Flip: Below Flip</t>
  </si>
  <si>
    <t>Bias: Put | Regime: Long Gamma | Delta: Dealers Long (Sell Rips) | Vanna: Downside Pressure | Charm: Sell Into Close | Flip: Above Flip</t>
  </si>
  <si>
    <t>Bias: Put | Regime: Short Gamma | Delta: Dealers Long (Sell Rips) | Vanna: Downside Drift | Charm: Buy Into Close | Flip: Below Flip</t>
  </si>
  <si>
    <t>Avoid</t>
  </si>
  <si>
    <t>Bias: Avoid | Regime: Long Gamma | Delta: Dealers Long (Sell Rips) | Vanna: Downside Pressure | Charm: Sell Into Close | Flip: Above Flip</t>
  </si>
  <si>
    <t>Bias: Call | Regime: Short Gamma | Delta: Dealers Short (Buy Rips) | Vanna: Upside Drift | Charm: Sell Into Close | Flip: Above Flip</t>
  </si>
  <si>
    <t>Bias: Call | Regime: Short Gamma | Delta: Dealers Short (Buy Rips) | Vanna: Upside Drift | Charm: Sell Into Close | Flip: Below Flip</t>
  </si>
  <si>
    <t>ExternalData_3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</si>
</sst>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4" xr16:uid="{5038502D-B6A8-4F49-B72B-1C9692F9E20F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5E3C4-1AD0-4A4D-9C8B-F5057738BD6F}" name="Universe" displayName="Universe" ref="A1:B61" totalsRowShown="0">
  <autoFilter ref="A1:B61" xr:uid="{EBE5E3C4-1AD0-4A4D-9C8B-F5057738BD6F}"/>
  <tableColumns count="2">
    <tableColumn id="1" xr3:uid="{CB154754-4782-4A74-9812-EE62F9C0ACF7}" name="Ticker"/>
    <tableColumn id="2" xr3:uid="{24B03CEE-ECF0-446F-B311-5636D3D5CBF8}" name="T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690FAA-768D-47EB-98D0-B5FAC026D802}" name="LogicEngineClean" displayName="LogicEngineClean" ref="A1:O61" totalsRowShown="0">
  <autoFilter ref="A1:O61" xr:uid="{47690FAA-768D-47EB-98D0-B5FAC026D802}"/>
  <tableColumns count="15">
    <tableColumn id="1" xr3:uid="{ABEBD44D-E088-4AE4-B74A-B1D97918A87E}" name="Ticker">
      <calculatedColumnFormula>#REF!</calculatedColumnFormula>
    </tableColumn>
    <tableColumn id="2" xr3:uid="{69C62BBA-D62B-4AD0-977C-66789D861C90}" name="Tier">
      <calculatedColumnFormula>#REF!</calculatedColumnFormula>
    </tableColumn>
    <tableColumn id="3" xr3:uid="{0711D527-45E7-485F-BC49-984FBCCB8B89}" name="TierWeight"/>
    <tableColumn id="4" xr3:uid="{A26AE026-9037-43A4-8069-A08BAF47C208}" name="GammaRegime"/>
    <tableColumn id="5" xr3:uid="{96D3B390-C0F1-4434-8FB2-B86C202502A5}" name="DeltaLean"/>
    <tableColumn id="6" xr3:uid="{B78E59E2-721E-47DA-A3F1-145B21AE037A}" name="VannaBias"/>
    <tableColumn id="7" xr3:uid="{AEB8D844-8F6A-4B35-B6FB-646699F4858F}" name="CharmBias"/>
    <tableColumn id="8" xr3:uid="{E0AA0BA5-B8C4-4A24-A8FB-3E8757892FA0}" name="CallWallFlag"/>
    <tableColumn id="9" xr3:uid="{8AC0B112-CF33-45E0-8AFC-7DA9DBD34864}" name="PutWallFlag"/>
    <tableColumn id="10" xr3:uid="{33C04C60-985A-4B85-9E81-9202788EB05F}" name="FlipFlag"/>
    <tableColumn id="11" xr3:uid="{A6F44C19-E5D8-401C-ADDA-4B6EC9F8BF75}" name="BullScore"/>
    <tableColumn id="12" xr3:uid="{A2D2AC8A-1937-4626-B595-3A11E735DB8B}" name="BearScore"/>
    <tableColumn id="13" xr3:uid="{982D8E62-B1E9-4A84-9376-96DDF3BF7F9B}" name="TradeBias"/>
    <tableColumn id="14" xr3:uid="{5932A3BB-1586-40B3-AA60-3A377FF545CC}" name="Conviction"/>
    <tableColumn id="15" xr3:uid="{9D290970-6F46-4B06-8911-F2E18DE18FA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F047-5926-4CE0-A18F-14E61192ED18}">
  <dimension ref="A1:B61"/>
  <sheetViews>
    <sheetView workbookViewId="0">
      <selection sqref="A1:B61"/>
    </sheetView>
  </sheetViews>
  <sheetFormatPr defaultRowHeight="15" x14ac:dyDescent="0.25"/>
  <sheetData>
    <row r="1" spans="1:2" x14ac:dyDescent="0.25">
      <c r="A1" t="s">
        <v>60</v>
      </c>
      <c r="B1" t="s">
        <v>61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2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2</v>
      </c>
    </row>
    <row r="16" spans="1:2" x14ac:dyDescent="0.25">
      <c r="A16" t="s">
        <v>14</v>
      </c>
      <c r="B16">
        <v>2</v>
      </c>
    </row>
    <row r="17" spans="1:2" x14ac:dyDescent="0.25">
      <c r="A17" t="s">
        <v>15</v>
      </c>
      <c r="B17">
        <v>2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3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3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2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2</v>
      </c>
    </row>
    <row r="35" spans="1:2" x14ac:dyDescent="0.25">
      <c r="A35" t="s">
        <v>33</v>
      </c>
      <c r="B35">
        <v>2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3</v>
      </c>
    </row>
    <row r="38" spans="1:2" x14ac:dyDescent="0.25">
      <c r="A38" t="s">
        <v>36</v>
      </c>
      <c r="B38">
        <v>3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2</v>
      </c>
    </row>
    <row r="41" spans="1:2" x14ac:dyDescent="0.25">
      <c r="A41" t="s">
        <v>39</v>
      </c>
      <c r="B41">
        <v>2</v>
      </c>
    </row>
    <row r="42" spans="1:2" x14ac:dyDescent="0.25">
      <c r="A42" t="s">
        <v>40</v>
      </c>
      <c r="B42">
        <v>2</v>
      </c>
    </row>
    <row r="43" spans="1:2" x14ac:dyDescent="0.25">
      <c r="A43" t="s">
        <v>41</v>
      </c>
      <c r="B43">
        <v>2</v>
      </c>
    </row>
    <row r="44" spans="1:2" x14ac:dyDescent="0.25">
      <c r="A44" t="s">
        <v>42</v>
      </c>
      <c r="B44">
        <v>2</v>
      </c>
    </row>
    <row r="45" spans="1:2" x14ac:dyDescent="0.25">
      <c r="A45" t="s">
        <v>43</v>
      </c>
      <c r="B45">
        <v>2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2</v>
      </c>
    </row>
    <row r="48" spans="1:2" x14ac:dyDescent="0.25">
      <c r="A48" t="s">
        <v>46</v>
      </c>
      <c r="B48">
        <v>2</v>
      </c>
    </row>
    <row r="49" spans="1:2" x14ac:dyDescent="0.25">
      <c r="A49" t="s">
        <v>47</v>
      </c>
      <c r="B49">
        <v>2</v>
      </c>
    </row>
    <row r="50" spans="1:2" x14ac:dyDescent="0.25">
      <c r="A50" t="s">
        <v>48</v>
      </c>
      <c r="B50">
        <v>2</v>
      </c>
    </row>
    <row r="51" spans="1:2" x14ac:dyDescent="0.25">
      <c r="A51" t="s">
        <v>49</v>
      </c>
      <c r="B51">
        <v>2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2</v>
      </c>
    </row>
    <row r="57" spans="1:2" x14ac:dyDescent="0.25">
      <c r="A57" t="s">
        <v>55</v>
      </c>
      <c r="B57">
        <v>2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2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5A3E-F4CD-4A63-9E21-B2864212BF02}">
  <dimension ref="A1"/>
  <sheetViews>
    <sheetView workbookViewId="0">
      <selection activeCell="G27" sqref="G27"/>
    </sheetView>
  </sheetViews>
  <sheetFormatPr defaultRowHeight="15" x14ac:dyDescent="0.25"/>
  <sheetData>
    <row r="1" spans="1:1" x14ac:dyDescent="0.25">
      <c r="A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4D78-70C1-45AD-91EE-D8C7B0A01E87}">
  <dimension ref="A1"/>
  <sheetViews>
    <sheetView workbookViewId="0"/>
  </sheetViews>
  <sheetFormatPr defaultRowHeight="15" x14ac:dyDescent="0.25"/>
  <cols>
    <col min="1" max="1" width="8.7109375" bestFit="1" customWidth="1"/>
    <col min="2" max="2" width="6.7109375" bestFit="1" customWidth="1"/>
    <col min="3" max="3" width="7.85546875" bestFit="1" customWidth="1"/>
    <col min="4" max="4" width="16.28515625" bestFit="1" customWidth="1"/>
    <col min="5" max="5" width="15.7109375" bestFit="1" customWidth="1"/>
    <col min="6" max="6" width="11.85546875" bestFit="1" customWidth="1"/>
    <col min="7" max="7" width="13.42578125" bestFit="1" customWidth="1"/>
    <col min="8" max="8" width="12" bestFit="1" customWidth="1"/>
    <col min="9" max="9" width="12.5703125" bestFit="1" customWidth="1"/>
    <col min="10" max="10" width="11.42578125" bestFit="1" customWidth="1"/>
    <col min="11" max="11" width="4.85546875" bestFit="1" customWidth="1"/>
    <col min="12" max="12" width="8.42578125" bestFit="1" customWidth="1"/>
    <col min="13" max="13" width="9" bestFit="1" customWidth="1"/>
    <col min="14" max="14" width="9.28515625" bestFit="1" customWidth="1"/>
    <col min="15" max="15" width="5.5703125" bestFit="1" customWidth="1"/>
    <col min="17" max="17" width="9.7109375" bestFit="1" customWidth="1"/>
    <col min="18" max="18" width="13.7109375" bestFit="1" customWidth="1"/>
    <col min="19" max="19" width="13.140625" bestFit="1" customWidth="1"/>
    <col min="20" max="20" width="13.28515625" bestFit="1" customWidth="1"/>
    <col min="21" max="21" width="12.7109375" bestFit="1" customWidth="1"/>
    <col min="22" max="22" width="17.85546875" bestFit="1" customWidth="1"/>
    <col min="23" max="23" width="20" bestFit="1" customWidth="1"/>
    <col min="24" max="24" width="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2E77-6BF9-466F-93A2-DABE8B79C402}">
  <dimension ref="A1:O61"/>
  <sheetViews>
    <sheetView tabSelected="1" workbookViewId="0">
      <selection activeCell="O2" sqref="O2"/>
    </sheetView>
  </sheetViews>
  <sheetFormatPr defaultRowHeight="15" x14ac:dyDescent="0.25"/>
  <cols>
    <col min="3" max="3" width="13" customWidth="1"/>
    <col min="4" max="4" width="16.85546875" customWidth="1"/>
    <col min="5" max="6" width="12.28515625" customWidth="1"/>
    <col min="7" max="7" width="12.85546875" customWidth="1"/>
    <col min="8" max="8" width="14.28515625" customWidth="1"/>
    <col min="9" max="9" width="13.7109375" customWidth="1"/>
    <col min="10" max="10" width="10" customWidth="1"/>
    <col min="11" max="11" width="11.7109375" customWidth="1"/>
    <col min="12" max="12" width="12.28515625" customWidth="1"/>
    <col min="13" max="13" width="11.85546875" customWidth="1"/>
    <col min="14" max="14" width="13" customWidth="1"/>
    <col min="15" max="15" width="125.140625" bestFit="1" customWidth="1"/>
  </cols>
  <sheetData>
    <row r="1" spans="1:1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</row>
    <row r="2" spans="1:15" x14ac:dyDescent="0.25">
      <c r="A2" t="e">
        <f>#REF!</f>
        <v>#REF!</v>
      </c>
      <c r="B2" t="e">
        <f>#REF!</f>
        <v>#REF!</v>
      </c>
      <c r="C2" t="e">
        <f>IF(B2=1,10,IF(B2=2,5,0))</f>
        <v>#REF!</v>
      </c>
      <c r="D2" t="e">
        <f>IF(#REF!="","",
   IF(#REF!&gt;0,"Long Gamma","Short Gamma")
)</f>
        <v>#REF!</v>
      </c>
      <c r="E2" t="e">
        <f>IF(#REF!="","",
   IF(#REF!&gt;0,"Dealers Long (Sell Rips)","Dealers Short (Buy Rips)")
)</f>
        <v>#REF!</v>
      </c>
      <c r="F2" t="e">
        <f>IF(OR(#REF!="",#REF!=""),"",
   IF(#REF!&gt;0,
      IF(#REF!&gt;50,"Downside Pressure","Upside Drift"),
      IF(#REF!&gt;50,"Upside Pressure","Downside Drift")
   )
)</f>
        <v>#REF!</v>
      </c>
      <c r="G2" t="e">
        <f>IF(#REF!="","",
   IF(#REF!&lt;0,"Sell Into Close","Buy Into Close")
)</f>
        <v>#REF!</v>
      </c>
      <c r="H2" t="e">
        <f>IF(
    #REF!="",
    FALSE,
    ABS(#REF! - #REF!) / #REF! &lt; 0.02
)</f>
        <v>#REF!</v>
      </c>
      <c r="I2" t="e">
        <f>IF(
    #REF!="",
    FALSE,
    ABS(#REF! - #REF!) / #REF! &lt; 0.02
)</f>
        <v>#REF!</v>
      </c>
      <c r="J2" t="e">
        <f>IF(#REF!="","",
   IF(#REF! &lt;#REF!,"Below Flip","Above Flip")
)</f>
        <v>#REF!</v>
      </c>
      <c r="K2" t="e">
        <f>IF(#REF!="","",
   (IF(LogicEngine!$D2="Long Gamma",10,0)) +
   (IF(#REF!&lt;0,10,0)) +
   (IF(AND(#REF!&lt;0,#REF!&gt;50),10,0)) +
   (IF(AND(#REF!&gt;0,#REF!&lt;50),10,0)) +
   (IF(ABS(#REF! -#REF!)/#REF! &lt; 0.02,5,0)) +
   (IF(#REF!&gt;#REF!,5,0)) +
   LogicEngine!$C2
)</f>
        <v>#REF!</v>
      </c>
      <c r="L2" t="e">
        <f>IF(#REF!="","",
   (IF(LogicEngine!$D2="Short Gamma",10,0)) +
   (IF(#REF!&gt;0,10,0)) +
   (IF(AND(#REF!&gt;0,#REF!&gt;50),10,0)) +
   (IF(AND(#REF!&lt;0,#REF!&lt;50),10,0)) +
   (IF(ABS(#REF! -#REF!)/#REF! &lt; 0.02,5,0)) +
   (IF(#REF!&lt;#REF!,5,0)) +
   LogicEngine!$C2
)</f>
        <v>#REF!</v>
      </c>
      <c r="M2" t="e">
        <f>IF(LogicEngine!$K2&gt;LogicEngine!$L2,"Call",
   IF(LogicEngine!$L2&gt;LogicEngine!$K2,"Put","Avoid")
)</f>
        <v>#REF!</v>
      </c>
      <c r="N2" t="e">
        <f>MAX(LogicEngine!$K2,LogicEngine!$L2)</f>
        <v>#REF!</v>
      </c>
      <c r="O2" t="e">
        <f>IF(LogicEngine!$D2="","",
 "Bias: " &amp; LogicEngine!$M2 &amp;
 " | Regime: " &amp; LogicEngine!$D2 &amp;
 " | Delta: " &amp; LogicEngine!$E2 &amp;
 " | Vanna: " &amp; LogicEngine!$F2 &amp;
 " | Charm: " &amp; LogicEngine!$G2 &amp;
 " | Flip: " &amp; LogicEngine!$J2
)</f>
        <v>#REF!</v>
      </c>
    </row>
    <row r="3" spans="1:15" x14ac:dyDescent="0.25">
      <c r="A3" t="e">
        <f>#REF!</f>
        <v>#REF!</v>
      </c>
      <c r="B3" t="e">
        <f>#REF!</f>
        <v>#REF!</v>
      </c>
      <c r="C3">
        <v>10</v>
      </c>
      <c r="D3" t="s">
        <v>75</v>
      </c>
      <c r="E3" t="s">
        <v>76</v>
      </c>
      <c r="F3" t="s">
        <v>77</v>
      </c>
      <c r="G3" t="s">
        <v>78</v>
      </c>
      <c r="H3" t="b">
        <v>0</v>
      </c>
      <c r="I3" t="b">
        <v>0</v>
      </c>
      <c r="J3" t="s">
        <v>79</v>
      </c>
      <c r="K3">
        <v>30</v>
      </c>
      <c r="L3">
        <v>25</v>
      </c>
      <c r="M3" t="s">
        <v>80</v>
      </c>
      <c r="N3">
        <v>30</v>
      </c>
      <c r="O3" t="s">
        <v>81</v>
      </c>
    </row>
    <row r="4" spans="1:15" x14ac:dyDescent="0.25">
      <c r="A4" t="e">
        <f>#REF!</f>
        <v>#REF!</v>
      </c>
      <c r="B4" t="e">
        <f>#REF!</f>
        <v>#REF!</v>
      </c>
      <c r="C4">
        <v>10</v>
      </c>
      <c r="D4" t="s">
        <v>82</v>
      </c>
      <c r="E4" t="s">
        <v>76</v>
      </c>
      <c r="F4" t="s">
        <v>77</v>
      </c>
      <c r="G4" t="s">
        <v>78</v>
      </c>
      <c r="H4" t="b">
        <v>0</v>
      </c>
      <c r="I4" t="b">
        <v>0</v>
      </c>
      <c r="J4" t="s">
        <v>79</v>
      </c>
      <c r="K4">
        <v>20</v>
      </c>
      <c r="L4">
        <v>35</v>
      </c>
      <c r="M4" t="s">
        <v>83</v>
      </c>
      <c r="N4">
        <v>35</v>
      </c>
      <c r="O4" t="s">
        <v>84</v>
      </c>
    </row>
    <row r="5" spans="1:15" x14ac:dyDescent="0.25">
      <c r="A5" t="e">
        <f>#REF!</f>
        <v>#REF!</v>
      </c>
      <c r="B5" t="e">
        <f>#REF!</f>
        <v>#REF!</v>
      </c>
      <c r="C5">
        <v>10</v>
      </c>
      <c r="D5" t="s">
        <v>75</v>
      </c>
      <c r="E5" t="s">
        <v>76</v>
      </c>
      <c r="F5" t="s">
        <v>77</v>
      </c>
      <c r="G5" t="s">
        <v>78</v>
      </c>
      <c r="H5" t="b">
        <v>0</v>
      </c>
      <c r="I5" t="b">
        <v>0</v>
      </c>
      <c r="J5" t="s">
        <v>79</v>
      </c>
      <c r="K5">
        <v>30</v>
      </c>
      <c r="L5">
        <v>25</v>
      </c>
      <c r="M5" t="s">
        <v>80</v>
      </c>
      <c r="N5">
        <v>30</v>
      </c>
      <c r="O5" t="s">
        <v>81</v>
      </c>
    </row>
    <row r="6" spans="1:15" x14ac:dyDescent="0.25">
      <c r="A6" t="e">
        <f>#REF!</f>
        <v>#REF!</v>
      </c>
      <c r="B6" t="e">
        <f>#REF!</f>
        <v>#REF!</v>
      </c>
      <c r="C6">
        <v>10</v>
      </c>
      <c r="D6" t="s">
        <v>82</v>
      </c>
      <c r="E6" t="s">
        <v>76</v>
      </c>
      <c r="F6" t="s">
        <v>77</v>
      </c>
      <c r="G6" t="s">
        <v>78</v>
      </c>
      <c r="H6" t="b">
        <v>0</v>
      </c>
      <c r="I6" t="b">
        <v>0</v>
      </c>
      <c r="J6" t="s">
        <v>79</v>
      </c>
      <c r="K6">
        <v>20</v>
      </c>
      <c r="L6">
        <v>35</v>
      </c>
      <c r="M6" t="s">
        <v>83</v>
      </c>
      <c r="N6">
        <v>35</v>
      </c>
      <c r="O6" t="s">
        <v>84</v>
      </c>
    </row>
    <row r="7" spans="1:15" x14ac:dyDescent="0.25">
      <c r="A7" t="e">
        <f>#REF!</f>
        <v>#REF!</v>
      </c>
      <c r="B7" t="e">
        <f>#REF!</f>
        <v>#REF!</v>
      </c>
      <c r="C7">
        <v>10</v>
      </c>
      <c r="D7" t="s">
        <v>82</v>
      </c>
      <c r="E7" t="s">
        <v>76</v>
      </c>
      <c r="F7" t="s">
        <v>77</v>
      </c>
      <c r="G7" t="s">
        <v>78</v>
      </c>
      <c r="H7" t="b">
        <v>0</v>
      </c>
      <c r="I7" t="b">
        <v>0</v>
      </c>
      <c r="J7" t="s">
        <v>79</v>
      </c>
      <c r="K7">
        <v>20</v>
      </c>
      <c r="L7">
        <v>35</v>
      </c>
      <c r="M7" t="s">
        <v>83</v>
      </c>
      <c r="N7">
        <v>35</v>
      </c>
      <c r="O7" t="s">
        <v>84</v>
      </c>
    </row>
    <row r="8" spans="1:15" x14ac:dyDescent="0.25">
      <c r="A8" t="e">
        <f>#REF!</f>
        <v>#REF!</v>
      </c>
      <c r="B8" t="e">
        <f>#REF!</f>
        <v>#REF!</v>
      </c>
      <c r="C8">
        <v>10</v>
      </c>
      <c r="D8" t="s">
        <v>82</v>
      </c>
      <c r="E8" t="s">
        <v>76</v>
      </c>
      <c r="F8" t="s">
        <v>77</v>
      </c>
      <c r="G8" t="s">
        <v>78</v>
      </c>
      <c r="H8" t="b">
        <v>0</v>
      </c>
      <c r="I8" t="b">
        <v>0</v>
      </c>
      <c r="J8" t="s">
        <v>79</v>
      </c>
      <c r="K8">
        <v>20</v>
      </c>
      <c r="L8">
        <v>35</v>
      </c>
      <c r="M8" t="s">
        <v>83</v>
      </c>
      <c r="N8">
        <v>35</v>
      </c>
      <c r="O8" t="s">
        <v>84</v>
      </c>
    </row>
    <row r="9" spans="1:15" x14ac:dyDescent="0.25">
      <c r="A9" t="e">
        <f>#REF!</f>
        <v>#REF!</v>
      </c>
      <c r="B9" t="e">
        <f>#REF!</f>
        <v>#REF!</v>
      </c>
      <c r="C9">
        <v>10</v>
      </c>
      <c r="D9" t="s">
        <v>82</v>
      </c>
      <c r="E9" t="s">
        <v>76</v>
      </c>
      <c r="F9" t="s">
        <v>77</v>
      </c>
      <c r="G9" t="s">
        <v>78</v>
      </c>
      <c r="H9" t="b">
        <v>0</v>
      </c>
      <c r="I9" t="b">
        <v>0</v>
      </c>
      <c r="J9" t="s">
        <v>79</v>
      </c>
      <c r="K9">
        <v>20</v>
      </c>
      <c r="L9">
        <v>35</v>
      </c>
      <c r="M9" t="s">
        <v>83</v>
      </c>
      <c r="N9">
        <v>35</v>
      </c>
      <c r="O9" t="s">
        <v>84</v>
      </c>
    </row>
    <row r="10" spans="1:15" x14ac:dyDescent="0.25">
      <c r="A10" t="e">
        <f>#REF!</f>
        <v>#REF!</v>
      </c>
      <c r="B10" t="e">
        <f>#REF!</f>
        <v>#REF!</v>
      </c>
      <c r="C10">
        <v>5</v>
      </c>
      <c r="D10" t="s">
        <v>82</v>
      </c>
      <c r="E10" t="s">
        <v>76</v>
      </c>
      <c r="F10" t="s">
        <v>85</v>
      </c>
      <c r="G10" t="s">
        <v>78</v>
      </c>
      <c r="H10" t="b">
        <v>0</v>
      </c>
      <c r="I10" t="b">
        <v>0</v>
      </c>
      <c r="J10" t="s">
        <v>79</v>
      </c>
      <c r="K10">
        <v>5</v>
      </c>
      <c r="L10">
        <v>40</v>
      </c>
      <c r="M10" t="s">
        <v>83</v>
      </c>
      <c r="N10">
        <v>40</v>
      </c>
      <c r="O10" t="s">
        <v>86</v>
      </c>
    </row>
    <row r="11" spans="1:15" x14ac:dyDescent="0.25">
      <c r="A11" t="e">
        <f>#REF!</f>
        <v>#REF!</v>
      </c>
      <c r="B11" t="e">
        <f>#REF!</f>
        <v>#REF!</v>
      </c>
      <c r="C11">
        <v>10</v>
      </c>
      <c r="D11" t="s">
        <v>75</v>
      </c>
      <c r="E11" t="s">
        <v>76</v>
      </c>
      <c r="F11" t="s">
        <v>77</v>
      </c>
      <c r="G11" t="s">
        <v>78</v>
      </c>
      <c r="H11" t="b">
        <v>0</v>
      </c>
      <c r="I11" t="b">
        <v>0</v>
      </c>
      <c r="J11" t="s">
        <v>79</v>
      </c>
      <c r="K11">
        <v>30</v>
      </c>
      <c r="L11">
        <v>25</v>
      </c>
      <c r="M11" t="s">
        <v>80</v>
      </c>
      <c r="N11">
        <v>30</v>
      </c>
      <c r="O11" t="s">
        <v>81</v>
      </c>
    </row>
    <row r="12" spans="1:15" x14ac:dyDescent="0.25">
      <c r="A12" t="e">
        <f>#REF!</f>
        <v>#REF!</v>
      </c>
      <c r="B12" t="e">
        <f>#REF!</f>
        <v>#REF!</v>
      </c>
      <c r="C12">
        <v>10</v>
      </c>
      <c r="D12" t="s">
        <v>82</v>
      </c>
      <c r="E12" t="s">
        <v>76</v>
      </c>
      <c r="F12" t="s">
        <v>77</v>
      </c>
      <c r="G12" t="s">
        <v>78</v>
      </c>
      <c r="H12" t="b">
        <v>0</v>
      </c>
      <c r="I12" t="b">
        <v>0</v>
      </c>
      <c r="J12" t="s">
        <v>79</v>
      </c>
      <c r="K12">
        <v>20</v>
      </c>
      <c r="L12">
        <v>35</v>
      </c>
      <c r="M12" t="s">
        <v>83</v>
      </c>
      <c r="N12">
        <v>35</v>
      </c>
      <c r="O12" t="s">
        <v>84</v>
      </c>
    </row>
    <row r="13" spans="1:15" x14ac:dyDescent="0.25">
      <c r="A13" t="e">
        <f>#REF!</f>
        <v>#REF!</v>
      </c>
      <c r="B13" t="e">
        <f>#REF!</f>
        <v>#REF!</v>
      </c>
      <c r="C13">
        <v>10</v>
      </c>
      <c r="D13" t="s">
        <v>75</v>
      </c>
      <c r="E13" t="s">
        <v>76</v>
      </c>
      <c r="F13" t="s">
        <v>77</v>
      </c>
      <c r="G13" t="s">
        <v>78</v>
      </c>
      <c r="H13" t="b">
        <v>0</v>
      </c>
      <c r="I13" t="b">
        <v>0</v>
      </c>
      <c r="J13" t="s">
        <v>87</v>
      </c>
      <c r="K13">
        <v>35</v>
      </c>
      <c r="L13">
        <v>20</v>
      </c>
      <c r="M13" t="s">
        <v>80</v>
      </c>
      <c r="N13">
        <v>35</v>
      </c>
      <c r="O13" t="s">
        <v>88</v>
      </c>
    </row>
    <row r="14" spans="1:15" x14ac:dyDescent="0.25">
      <c r="A14" t="e">
        <f>#REF!</f>
        <v>#REF!</v>
      </c>
      <c r="B14" t="e">
        <f>#REF!</f>
        <v>#REF!</v>
      </c>
      <c r="C14">
        <v>5</v>
      </c>
      <c r="D14" t="s">
        <v>75</v>
      </c>
      <c r="E14" t="s">
        <v>76</v>
      </c>
      <c r="F14" t="s">
        <v>89</v>
      </c>
      <c r="G14" t="s">
        <v>78</v>
      </c>
      <c r="H14" t="b">
        <v>0</v>
      </c>
      <c r="I14" t="b">
        <v>0</v>
      </c>
      <c r="J14" t="s">
        <v>79</v>
      </c>
      <c r="K14">
        <v>15</v>
      </c>
      <c r="L14">
        <v>30</v>
      </c>
      <c r="M14" t="s">
        <v>83</v>
      </c>
      <c r="N14">
        <v>30</v>
      </c>
      <c r="O14" t="s">
        <v>90</v>
      </c>
    </row>
    <row r="15" spans="1:15" x14ac:dyDescent="0.25">
      <c r="A15" t="e">
        <f>#REF!</f>
        <v>#REF!</v>
      </c>
      <c r="B15" t="e">
        <f>#REF!</f>
        <v>#REF!</v>
      </c>
      <c r="C15">
        <v>5</v>
      </c>
      <c r="D15" t="s">
        <v>82</v>
      </c>
      <c r="E15" t="s">
        <v>76</v>
      </c>
      <c r="F15" t="s">
        <v>89</v>
      </c>
      <c r="G15" t="s">
        <v>78</v>
      </c>
      <c r="H15" t="b">
        <v>0</v>
      </c>
      <c r="I15" t="b">
        <v>0</v>
      </c>
      <c r="J15" t="s">
        <v>79</v>
      </c>
      <c r="K15">
        <v>5</v>
      </c>
      <c r="L15">
        <v>40</v>
      </c>
      <c r="M15" t="s">
        <v>83</v>
      </c>
      <c r="N15">
        <v>40</v>
      </c>
      <c r="O15" t="s">
        <v>91</v>
      </c>
    </row>
    <row r="16" spans="1:15" x14ac:dyDescent="0.25">
      <c r="A16" t="e">
        <f>#REF!</f>
        <v>#REF!</v>
      </c>
      <c r="B16" t="e">
        <f>#REF!</f>
        <v>#REF!</v>
      </c>
      <c r="C16">
        <v>5</v>
      </c>
      <c r="D16" t="s">
        <v>82</v>
      </c>
      <c r="E16" t="s">
        <v>76</v>
      </c>
      <c r="F16" t="s">
        <v>77</v>
      </c>
      <c r="G16" t="s">
        <v>78</v>
      </c>
      <c r="H16" t="b">
        <v>0</v>
      </c>
      <c r="I16" t="b">
        <v>0</v>
      </c>
      <c r="J16" t="s">
        <v>79</v>
      </c>
      <c r="K16">
        <v>15</v>
      </c>
      <c r="L16">
        <v>30</v>
      </c>
      <c r="M16" t="s">
        <v>83</v>
      </c>
      <c r="N16">
        <v>30</v>
      </c>
      <c r="O16" t="s">
        <v>84</v>
      </c>
    </row>
    <row r="17" spans="1:15" x14ac:dyDescent="0.25">
      <c r="A17" t="e">
        <f>#REF!</f>
        <v>#REF!</v>
      </c>
      <c r="B17" t="e">
        <f>#REF!</f>
        <v>#REF!</v>
      </c>
      <c r="C17">
        <v>5</v>
      </c>
      <c r="D17" t="s">
        <v>75</v>
      </c>
      <c r="E17" t="s">
        <v>76</v>
      </c>
      <c r="F17" t="s">
        <v>89</v>
      </c>
      <c r="G17" t="s">
        <v>78</v>
      </c>
      <c r="H17" t="b">
        <v>0</v>
      </c>
      <c r="I17" t="b">
        <v>0</v>
      </c>
      <c r="J17" t="s">
        <v>79</v>
      </c>
      <c r="K17">
        <v>15</v>
      </c>
      <c r="L17">
        <v>30</v>
      </c>
      <c r="M17" t="s">
        <v>83</v>
      </c>
      <c r="N17">
        <v>30</v>
      </c>
      <c r="O17" t="s">
        <v>90</v>
      </c>
    </row>
    <row r="18" spans="1:15" x14ac:dyDescent="0.25">
      <c r="A18" t="e">
        <f>#REF!</f>
        <v>#REF!</v>
      </c>
      <c r="B18" t="e">
        <f>#REF!</f>
        <v>#REF!</v>
      </c>
      <c r="C18">
        <v>10</v>
      </c>
      <c r="D18" t="s">
        <v>75</v>
      </c>
      <c r="E18" t="s">
        <v>76</v>
      </c>
      <c r="F18" t="s">
        <v>89</v>
      </c>
      <c r="G18" t="s">
        <v>78</v>
      </c>
      <c r="H18" t="b">
        <v>0</v>
      </c>
      <c r="I18" t="b">
        <v>0</v>
      </c>
      <c r="J18" t="s">
        <v>79</v>
      </c>
      <c r="K18">
        <v>20</v>
      </c>
      <c r="L18">
        <v>35</v>
      </c>
      <c r="M18" t="s">
        <v>83</v>
      </c>
      <c r="N18">
        <v>35</v>
      </c>
      <c r="O18" t="s">
        <v>90</v>
      </c>
    </row>
    <row r="19" spans="1:15" x14ac:dyDescent="0.25">
      <c r="A19" t="e">
        <f>#REF!</f>
        <v>#REF!</v>
      </c>
      <c r="B19" t="e">
        <f>#REF!</f>
        <v>#REF!</v>
      </c>
      <c r="C19">
        <v>0</v>
      </c>
      <c r="D19" t="s">
        <v>75</v>
      </c>
      <c r="E19" t="s">
        <v>76</v>
      </c>
      <c r="F19" t="s">
        <v>77</v>
      </c>
      <c r="G19" t="s">
        <v>78</v>
      </c>
      <c r="H19" t="b">
        <v>0</v>
      </c>
      <c r="I19" t="b">
        <v>0</v>
      </c>
      <c r="J19" t="s">
        <v>79</v>
      </c>
      <c r="K19">
        <v>20</v>
      </c>
      <c r="L19">
        <v>15</v>
      </c>
      <c r="M19" t="s">
        <v>80</v>
      </c>
      <c r="N19">
        <v>20</v>
      </c>
      <c r="O19" t="s">
        <v>81</v>
      </c>
    </row>
    <row r="20" spans="1:15" x14ac:dyDescent="0.25">
      <c r="A20" t="e">
        <f>#REF!</f>
        <v>#REF!</v>
      </c>
      <c r="B20" t="e">
        <f>#REF!</f>
        <v>#REF!</v>
      </c>
      <c r="C20">
        <v>10</v>
      </c>
      <c r="D20" t="s">
        <v>75</v>
      </c>
      <c r="E20" t="s">
        <v>76</v>
      </c>
      <c r="F20" t="s">
        <v>89</v>
      </c>
      <c r="G20" t="s">
        <v>78</v>
      </c>
      <c r="H20" t="b">
        <v>1</v>
      </c>
      <c r="I20" t="b">
        <v>0</v>
      </c>
      <c r="J20" t="s">
        <v>79</v>
      </c>
      <c r="K20">
        <v>25</v>
      </c>
      <c r="L20">
        <v>35</v>
      </c>
      <c r="M20" t="s">
        <v>83</v>
      </c>
      <c r="N20">
        <v>35</v>
      </c>
      <c r="O20" t="s">
        <v>90</v>
      </c>
    </row>
    <row r="21" spans="1:15" x14ac:dyDescent="0.25">
      <c r="A21" t="e">
        <f>#REF!</f>
        <v>#REF!</v>
      </c>
      <c r="B21" t="e">
        <f>#REF!</f>
        <v>#REF!</v>
      </c>
      <c r="C21">
        <v>10</v>
      </c>
      <c r="D21" t="s">
        <v>82</v>
      </c>
      <c r="E21" t="s">
        <v>76</v>
      </c>
      <c r="F21" t="s">
        <v>89</v>
      </c>
      <c r="G21" t="s">
        <v>78</v>
      </c>
      <c r="H21" t="b">
        <v>0</v>
      </c>
      <c r="I21" t="b">
        <v>0</v>
      </c>
      <c r="J21" t="s">
        <v>79</v>
      </c>
      <c r="K21">
        <v>10</v>
      </c>
      <c r="L21">
        <v>45</v>
      </c>
      <c r="M21" t="s">
        <v>83</v>
      </c>
      <c r="N21">
        <v>45</v>
      </c>
      <c r="O21" t="s">
        <v>91</v>
      </c>
    </row>
    <row r="22" spans="1:15" x14ac:dyDescent="0.25">
      <c r="A22" t="e">
        <f>#REF!</f>
        <v>#REF!</v>
      </c>
      <c r="B22" t="e">
        <f>#REF!</f>
        <v>#REF!</v>
      </c>
      <c r="C22">
        <v>10</v>
      </c>
      <c r="D22" t="s">
        <v>82</v>
      </c>
      <c r="E22" t="s">
        <v>76</v>
      </c>
      <c r="F22" t="s">
        <v>92</v>
      </c>
      <c r="G22" t="s">
        <v>78</v>
      </c>
      <c r="H22" t="b">
        <v>0</v>
      </c>
      <c r="I22" t="b">
        <v>0</v>
      </c>
      <c r="J22" t="s">
        <v>79</v>
      </c>
      <c r="K22">
        <v>10</v>
      </c>
      <c r="L22">
        <v>45</v>
      </c>
      <c r="M22" t="s">
        <v>83</v>
      </c>
      <c r="N22">
        <v>45</v>
      </c>
      <c r="O22" t="s">
        <v>93</v>
      </c>
    </row>
    <row r="23" spans="1:15" x14ac:dyDescent="0.25">
      <c r="A23" t="e">
        <f>#REF!</f>
        <v>#REF!</v>
      </c>
      <c r="B23" t="e">
        <f>#REF!</f>
        <v>#REF!</v>
      </c>
      <c r="C23">
        <v>10</v>
      </c>
      <c r="D23" t="s">
        <v>82</v>
      </c>
      <c r="E23" t="s">
        <v>76</v>
      </c>
      <c r="F23" t="s">
        <v>77</v>
      </c>
      <c r="G23" t="s">
        <v>78</v>
      </c>
      <c r="H23" t="b">
        <v>0</v>
      </c>
      <c r="I23" t="b">
        <v>0</v>
      </c>
      <c r="J23" t="s">
        <v>79</v>
      </c>
      <c r="K23">
        <v>20</v>
      </c>
      <c r="L23">
        <v>35</v>
      </c>
      <c r="M23" t="s">
        <v>83</v>
      </c>
      <c r="N23">
        <v>35</v>
      </c>
      <c r="O23" t="s">
        <v>84</v>
      </c>
    </row>
    <row r="24" spans="1:15" x14ac:dyDescent="0.25">
      <c r="A24" t="e">
        <f>#REF!</f>
        <v>#REF!</v>
      </c>
      <c r="B24" t="e">
        <f>#REF!</f>
        <v>#REF!</v>
      </c>
      <c r="C24">
        <v>10</v>
      </c>
      <c r="D24" t="s">
        <v>75</v>
      </c>
      <c r="E24" t="s">
        <v>76</v>
      </c>
      <c r="F24" t="s">
        <v>89</v>
      </c>
      <c r="G24" t="s">
        <v>78</v>
      </c>
      <c r="H24" t="b">
        <v>0</v>
      </c>
      <c r="I24" t="b">
        <v>0</v>
      </c>
      <c r="J24" t="s">
        <v>79</v>
      </c>
      <c r="K24">
        <v>20</v>
      </c>
      <c r="L24">
        <v>35</v>
      </c>
      <c r="M24" t="s">
        <v>83</v>
      </c>
      <c r="N24">
        <v>35</v>
      </c>
      <c r="O24" t="s">
        <v>90</v>
      </c>
    </row>
    <row r="25" spans="1:15" x14ac:dyDescent="0.25">
      <c r="A25" t="e">
        <f>#REF!</f>
        <v>#REF!</v>
      </c>
      <c r="B25" t="e">
        <f>#REF!</f>
        <v>#REF!</v>
      </c>
      <c r="C25">
        <v>10</v>
      </c>
      <c r="D25" t="s">
        <v>82</v>
      </c>
      <c r="E25" t="s">
        <v>94</v>
      </c>
      <c r="F25" t="s">
        <v>95</v>
      </c>
      <c r="G25" t="s">
        <v>78</v>
      </c>
      <c r="H25" t="b">
        <v>0</v>
      </c>
      <c r="I25" t="b">
        <v>0</v>
      </c>
      <c r="J25" t="s">
        <v>79</v>
      </c>
      <c r="K25">
        <v>30</v>
      </c>
      <c r="L25">
        <v>25</v>
      </c>
      <c r="M25" t="s">
        <v>80</v>
      </c>
      <c r="N25">
        <v>30</v>
      </c>
      <c r="O25" t="s">
        <v>96</v>
      </c>
    </row>
    <row r="26" spans="1:15" x14ac:dyDescent="0.25">
      <c r="A26" t="e">
        <f>#REF!</f>
        <v>#REF!</v>
      </c>
      <c r="B26" t="e">
        <f>#REF!</f>
        <v>#REF!</v>
      </c>
      <c r="C26">
        <v>10</v>
      </c>
      <c r="D26" t="s">
        <v>75</v>
      </c>
      <c r="E26" t="s">
        <v>76</v>
      </c>
      <c r="F26" t="s">
        <v>89</v>
      </c>
      <c r="G26" t="s">
        <v>78</v>
      </c>
      <c r="H26" t="b">
        <v>1</v>
      </c>
      <c r="I26" t="b">
        <v>0</v>
      </c>
      <c r="J26" t="s">
        <v>79</v>
      </c>
      <c r="K26">
        <v>25</v>
      </c>
      <c r="L26">
        <v>35</v>
      </c>
      <c r="M26" t="s">
        <v>83</v>
      </c>
      <c r="N26">
        <v>35</v>
      </c>
      <c r="O26" t="s">
        <v>90</v>
      </c>
    </row>
    <row r="27" spans="1:15" x14ac:dyDescent="0.25">
      <c r="A27" t="e">
        <f>#REF!</f>
        <v>#REF!</v>
      </c>
      <c r="B27" t="e">
        <f>#REF!</f>
        <v>#REF!</v>
      </c>
      <c r="C27">
        <v>10</v>
      </c>
      <c r="D27" t="s">
        <v>82</v>
      </c>
      <c r="E27" t="s">
        <v>94</v>
      </c>
      <c r="F27" t="s">
        <v>89</v>
      </c>
      <c r="G27" t="s">
        <v>78</v>
      </c>
      <c r="H27" t="b">
        <v>0</v>
      </c>
      <c r="I27" t="b">
        <v>0</v>
      </c>
      <c r="J27" t="s">
        <v>79</v>
      </c>
      <c r="K27">
        <v>20</v>
      </c>
      <c r="L27">
        <v>35</v>
      </c>
      <c r="M27" t="s">
        <v>83</v>
      </c>
      <c r="N27">
        <v>35</v>
      </c>
      <c r="O27" t="s">
        <v>97</v>
      </c>
    </row>
    <row r="28" spans="1:15" x14ac:dyDescent="0.25">
      <c r="A28" t="e">
        <f>#REF!</f>
        <v>#REF!</v>
      </c>
      <c r="B28" t="e">
        <f>#REF!</f>
        <v>#REF!</v>
      </c>
      <c r="C28">
        <v>0</v>
      </c>
      <c r="D28" t="s">
        <v>75</v>
      </c>
      <c r="E28" t="s">
        <v>76</v>
      </c>
      <c r="F28" t="s">
        <v>89</v>
      </c>
      <c r="G28" t="s">
        <v>78</v>
      </c>
      <c r="H28" t="b">
        <v>0</v>
      </c>
      <c r="I28" t="b">
        <v>0</v>
      </c>
      <c r="J28" t="s">
        <v>79</v>
      </c>
      <c r="K28">
        <v>10</v>
      </c>
      <c r="L28">
        <v>25</v>
      </c>
      <c r="M28" t="s">
        <v>83</v>
      </c>
      <c r="N28">
        <v>25</v>
      </c>
      <c r="O28" t="s">
        <v>90</v>
      </c>
    </row>
    <row r="29" spans="1:15" x14ac:dyDescent="0.25">
      <c r="A29" t="e">
        <f>#REF!</f>
        <v>#REF!</v>
      </c>
      <c r="B29" t="e">
        <f>#REF!</f>
        <v>#REF!</v>
      </c>
      <c r="C29">
        <v>10</v>
      </c>
      <c r="D29" t="s">
        <v>82</v>
      </c>
      <c r="E29" t="s">
        <v>76</v>
      </c>
      <c r="F29" t="s">
        <v>95</v>
      </c>
      <c r="G29" t="s">
        <v>78</v>
      </c>
      <c r="H29" t="b">
        <v>1</v>
      </c>
      <c r="I29" t="b">
        <v>0</v>
      </c>
      <c r="J29" t="s">
        <v>79</v>
      </c>
      <c r="K29">
        <v>25</v>
      </c>
      <c r="L29">
        <v>35</v>
      </c>
      <c r="M29" t="s">
        <v>83</v>
      </c>
      <c r="N29">
        <v>35</v>
      </c>
      <c r="O29" t="s">
        <v>98</v>
      </c>
    </row>
    <row r="30" spans="1:15" x14ac:dyDescent="0.25">
      <c r="A30" t="e">
        <f>#REF!</f>
        <v>#REF!</v>
      </c>
      <c r="B30" t="e">
        <f>#REF!</f>
        <v>#REF!</v>
      </c>
      <c r="C30">
        <v>10</v>
      </c>
      <c r="D30" t="s">
        <v>82</v>
      </c>
      <c r="E30" t="s">
        <v>76</v>
      </c>
      <c r="F30" t="s">
        <v>95</v>
      </c>
      <c r="G30" t="s">
        <v>99</v>
      </c>
      <c r="H30" t="b">
        <v>0</v>
      </c>
      <c r="I30" t="b">
        <v>0</v>
      </c>
      <c r="J30" t="s">
        <v>79</v>
      </c>
      <c r="K30">
        <v>20</v>
      </c>
      <c r="L30">
        <v>35</v>
      </c>
      <c r="M30" t="s">
        <v>83</v>
      </c>
      <c r="N30">
        <v>35</v>
      </c>
      <c r="O30" t="s">
        <v>100</v>
      </c>
    </row>
    <row r="31" spans="1:15" x14ac:dyDescent="0.25">
      <c r="A31" t="e">
        <f>#REF!</f>
        <v>#REF!</v>
      </c>
      <c r="B31" t="e">
        <f>#REF!</f>
        <v>#REF!</v>
      </c>
      <c r="C31">
        <v>10</v>
      </c>
      <c r="D31" t="s">
        <v>82</v>
      </c>
      <c r="E31" t="s">
        <v>76</v>
      </c>
      <c r="F31" t="s">
        <v>89</v>
      </c>
      <c r="G31" t="s">
        <v>78</v>
      </c>
      <c r="H31" t="b">
        <v>0</v>
      </c>
      <c r="I31" t="b">
        <v>0</v>
      </c>
      <c r="J31" t="s">
        <v>79</v>
      </c>
      <c r="K31">
        <v>10</v>
      </c>
      <c r="L31">
        <v>45</v>
      </c>
      <c r="M31" t="s">
        <v>83</v>
      </c>
      <c r="N31">
        <v>45</v>
      </c>
      <c r="O31" t="s">
        <v>91</v>
      </c>
    </row>
    <row r="32" spans="1:15" x14ac:dyDescent="0.25">
      <c r="A32" t="e">
        <f>#REF!</f>
        <v>#REF!</v>
      </c>
      <c r="B32" t="e">
        <f>#REF!</f>
        <v>#REF!</v>
      </c>
      <c r="C32">
        <v>5</v>
      </c>
      <c r="D32" t="s">
        <v>75</v>
      </c>
      <c r="E32" t="s">
        <v>76</v>
      </c>
      <c r="F32" t="s">
        <v>89</v>
      </c>
      <c r="G32" t="s">
        <v>78</v>
      </c>
      <c r="H32" t="b">
        <v>0</v>
      </c>
      <c r="I32" t="b">
        <v>0</v>
      </c>
      <c r="J32" t="s">
        <v>79</v>
      </c>
      <c r="K32">
        <v>15</v>
      </c>
      <c r="L32">
        <v>30</v>
      </c>
      <c r="M32" t="s">
        <v>83</v>
      </c>
      <c r="N32">
        <v>30</v>
      </c>
      <c r="O32" t="s">
        <v>90</v>
      </c>
    </row>
    <row r="33" spans="1:15" x14ac:dyDescent="0.25">
      <c r="A33" t="e">
        <f>#REF!</f>
        <v>#REF!</v>
      </c>
      <c r="B33" t="e">
        <f>#REF!</f>
        <v>#REF!</v>
      </c>
      <c r="C33">
        <v>10</v>
      </c>
      <c r="D33" t="s">
        <v>75</v>
      </c>
      <c r="E33" t="s">
        <v>76</v>
      </c>
      <c r="F33" t="s">
        <v>89</v>
      </c>
      <c r="G33" t="s">
        <v>78</v>
      </c>
      <c r="H33" t="b">
        <v>0</v>
      </c>
      <c r="I33" t="b">
        <v>0</v>
      </c>
      <c r="J33" t="s">
        <v>87</v>
      </c>
      <c r="K33">
        <v>25</v>
      </c>
      <c r="L33">
        <v>30</v>
      </c>
      <c r="M33" t="s">
        <v>83</v>
      </c>
      <c r="N33">
        <v>30</v>
      </c>
      <c r="O33" t="s">
        <v>101</v>
      </c>
    </row>
    <row r="34" spans="1:15" x14ac:dyDescent="0.25">
      <c r="A34" t="e">
        <f>#REF!</f>
        <v>#REF!</v>
      </c>
      <c r="B34" t="e">
        <f>#REF!</f>
        <v>#REF!</v>
      </c>
      <c r="C34">
        <v>5</v>
      </c>
      <c r="D34" t="s">
        <v>75</v>
      </c>
      <c r="E34" t="s">
        <v>76</v>
      </c>
      <c r="F34" t="s">
        <v>89</v>
      </c>
      <c r="G34" t="s">
        <v>78</v>
      </c>
      <c r="H34" t="b">
        <v>0</v>
      </c>
      <c r="I34" t="b">
        <v>0</v>
      </c>
      <c r="J34" t="s">
        <v>79</v>
      </c>
      <c r="K34">
        <v>15</v>
      </c>
      <c r="L34">
        <v>30</v>
      </c>
      <c r="M34" t="s">
        <v>83</v>
      </c>
      <c r="N34">
        <v>30</v>
      </c>
      <c r="O34" t="s">
        <v>90</v>
      </c>
    </row>
    <row r="35" spans="1:15" x14ac:dyDescent="0.25">
      <c r="A35" t="e">
        <f>#REF!</f>
        <v>#REF!</v>
      </c>
      <c r="B35" t="e">
        <f>#REF!</f>
        <v>#REF!</v>
      </c>
      <c r="C35">
        <v>5</v>
      </c>
      <c r="D35" t="s">
        <v>75</v>
      </c>
      <c r="E35" t="s">
        <v>76</v>
      </c>
      <c r="F35" t="s">
        <v>77</v>
      </c>
      <c r="G35" t="s">
        <v>78</v>
      </c>
      <c r="H35" t="b">
        <v>0</v>
      </c>
      <c r="I35" t="b">
        <v>0</v>
      </c>
      <c r="J35" t="s">
        <v>79</v>
      </c>
      <c r="K35">
        <v>25</v>
      </c>
      <c r="L35">
        <v>20</v>
      </c>
      <c r="M35" t="s">
        <v>80</v>
      </c>
      <c r="N35">
        <v>25</v>
      </c>
      <c r="O35" t="s">
        <v>81</v>
      </c>
    </row>
    <row r="36" spans="1:15" x14ac:dyDescent="0.25">
      <c r="A36" t="e">
        <f>#REF!</f>
        <v>#REF!</v>
      </c>
      <c r="B36" t="e">
        <f>#REF!</f>
        <v>#REF!</v>
      </c>
      <c r="C36">
        <v>10</v>
      </c>
      <c r="D36" t="s">
        <v>75</v>
      </c>
      <c r="E36" t="s">
        <v>76</v>
      </c>
      <c r="F36" t="s">
        <v>89</v>
      </c>
      <c r="G36" t="s">
        <v>78</v>
      </c>
      <c r="H36" t="b">
        <v>1</v>
      </c>
      <c r="I36" t="b">
        <v>0</v>
      </c>
      <c r="J36" t="s">
        <v>79</v>
      </c>
      <c r="K36">
        <v>25</v>
      </c>
      <c r="L36">
        <v>35</v>
      </c>
      <c r="M36" t="s">
        <v>83</v>
      </c>
      <c r="N36">
        <v>35</v>
      </c>
      <c r="O36" t="s">
        <v>90</v>
      </c>
    </row>
    <row r="37" spans="1:15" x14ac:dyDescent="0.25">
      <c r="A37" t="e">
        <f>#REF!</f>
        <v>#REF!</v>
      </c>
      <c r="B37" t="e">
        <f>#REF!</f>
        <v>#REF!</v>
      </c>
      <c r="C37">
        <v>0</v>
      </c>
      <c r="D37" t="s">
        <v>75</v>
      </c>
      <c r="E37" t="s">
        <v>76</v>
      </c>
      <c r="F37" t="s">
        <v>77</v>
      </c>
      <c r="G37" t="s">
        <v>78</v>
      </c>
      <c r="H37" t="b">
        <v>0</v>
      </c>
      <c r="I37" t="b">
        <v>0</v>
      </c>
      <c r="J37" t="s">
        <v>79</v>
      </c>
      <c r="K37">
        <v>20</v>
      </c>
      <c r="L37">
        <v>15</v>
      </c>
      <c r="M37" t="s">
        <v>80</v>
      </c>
      <c r="N37">
        <v>20</v>
      </c>
      <c r="O37" t="s">
        <v>81</v>
      </c>
    </row>
    <row r="38" spans="1:15" x14ac:dyDescent="0.25">
      <c r="A38" t="e">
        <f>#REF!</f>
        <v>#REF!</v>
      </c>
      <c r="B38" t="e">
        <f>#REF!</f>
        <v>#REF!</v>
      </c>
      <c r="C38">
        <v>0</v>
      </c>
      <c r="D38" t="s">
        <v>75</v>
      </c>
      <c r="E38" t="s">
        <v>76</v>
      </c>
      <c r="F38" t="s">
        <v>89</v>
      </c>
      <c r="G38" t="s">
        <v>78</v>
      </c>
      <c r="H38" t="b">
        <v>0</v>
      </c>
      <c r="I38" t="b">
        <v>0</v>
      </c>
      <c r="J38" t="s">
        <v>79</v>
      </c>
      <c r="K38">
        <v>10</v>
      </c>
      <c r="L38">
        <v>25</v>
      </c>
      <c r="M38" t="s">
        <v>83</v>
      </c>
      <c r="N38">
        <v>25</v>
      </c>
      <c r="O38" t="s">
        <v>90</v>
      </c>
    </row>
    <row r="39" spans="1:15" x14ac:dyDescent="0.25">
      <c r="A39" t="e">
        <f>#REF!</f>
        <v>#REF!</v>
      </c>
      <c r="B39" t="e">
        <f>#REF!</f>
        <v>#REF!</v>
      </c>
      <c r="C39">
        <v>10</v>
      </c>
      <c r="D39" t="s">
        <v>82</v>
      </c>
      <c r="E39" t="s">
        <v>76</v>
      </c>
      <c r="F39" t="s">
        <v>89</v>
      </c>
      <c r="G39" t="s">
        <v>78</v>
      </c>
      <c r="H39" t="b">
        <v>0</v>
      </c>
      <c r="I39" t="b">
        <v>0</v>
      </c>
      <c r="J39" t="s">
        <v>79</v>
      </c>
      <c r="K39">
        <v>10</v>
      </c>
      <c r="L39">
        <v>45</v>
      </c>
      <c r="M39" t="s">
        <v>83</v>
      </c>
      <c r="N39">
        <v>45</v>
      </c>
      <c r="O39" t="s">
        <v>91</v>
      </c>
    </row>
    <row r="40" spans="1:15" x14ac:dyDescent="0.25">
      <c r="A40" t="e">
        <f>#REF!</f>
        <v>#REF!</v>
      </c>
      <c r="B40" t="e">
        <f>#REF!</f>
        <v>#REF!</v>
      </c>
      <c r="C40">
        <v>5</v>
      </c>
      <c r="D40" t="s">
        <v>82</v>
      </c>
      <c r="E40" t="s">
        <v>76</v>
      </c>
      <c r="F40" t="s">
        <v>95</v>
      </c>
      <c r="G40" t="s">
        <v>78</v>
      </c>
      <c r="H40" t="b">
        <v>0</v>
      </c>
      <c r="I40" t="b">
        <v>0</v>
      </c>
      <c r="J40" t="s">
        <v>79</v>
      </c>
      <c r="K40">
        <v>15</v>
      </c>
      <c r="L40">
        <v>30</v>
      </c>
      <c r="M40" t="s">
        <v>83</v>
      </c>
      <c r="N40">
        <v>30</v>
      </c>
      <c r="O40" t="s">
        <v>98</v>
      </c>
    </row>
    <row r="41" spans="1:15" x14ac:dyDescent="0.25">
      <c r="A41" t="e">
        <f>#REF!</f>
        <v>#REF!</v>
      </c>
      <c r="B41" t="e">
        <f>#REF!</f>
        <v>#REF!</v>
      </c>
      <c r="C41">
        <v>5</v>
      </c>
      <c r="D41" t="s">
        <v>75</v>
      </c>
      <c r="E41" t="s">
        <v>76</v>
      </c>
      <c r="F41" t="s">
        <v>77</v>
      </c>
      <c r="G41" t="s">
        <v>78</v>
      </c>
      <c r="H41" t="b">
        <v>0</v>
      </c>
      <c r="I41" t="b">
        <v>0</v>
      </c>
      <c r="J41" t="s">
        <v>79</v>
      </c>
      <c r="K41">
        <v>25</v>
      </c>
      <c r="L41">
        <v>20</v>
      </c>
      <c r="M41" t="s">
        <v>80</v>
      </c>
      <c r="N41">
        <v>25</v>
      </c>
      <c r="O41" t="s">
        <v>81</v>
      </c>
    </row>
    <row r="42" spans="1:15" x14ac:dyDescent="0.25">
      <c r="A42" t="e">
        <f>#REF!</f>
        <v>#REF!</v>
      </c>
      <c r="B42" t="e">
        <f>#REF!</f>
        <v>#REF!</v>
      </c>
      <c r="C42">
        <v>5</v>
      </c>
      <c r="D42" t="s">
        <v>82</v>
      </c>
      <c r="E42" t="s">
        <v>76</v>
      </c>
      <c r="F42" t="s">
        <v>77</v>
      </c>
      <c r="G42" t="s">
        <v>78</v>
      </c>
      <c r="H42" t="b">
        <v>0</v>
      </c>
      <c r="I42" t="b">
        <v>0</v>
      </c>
      <c r="J42" t="s">
        <v>79</v>
      </c>
      <c r="K42">
        <v>15</v>
      </c>
      <c r="L42">
        <v>30</v>
      </c>
      <c r="M42" t="s">
        <v>83</v>
      </c>
      <c r="N42">
        <v>30</v>
      </c>
      <c r="O42" t="s">
        <v>84</v>
      </c>
    </row>
    <row r="43" spans="1:15" x14ac:dyDescent="0.25">
      <c r="A43" t="e">
        <f>#REF!</f>
        <v>#REF!</v>
      </c>
      <c r="B43" t="e">
        <f>#REF!</f>
        <v>#REF!</v>
      </c>
      <c r="C43">
        <v>5</v>
      </c>
      <c r="D43" t="s">
        <v>82</v>
      </c>
      <c r="E43" t="s">
        <v>76</v>
      </c>
      <c r="F43" t="s">
        <v>85</v>
      </c>
      <c r="G43" t="s">
        <v>99</v>
      </c>
      <c r="H43" t="b">
        <v>0</v>
      </c>
      <c r="I43" t="b">
        <v>0</v>
      </c>
      <c r="J43" t="s">
        <v>79</v>
      </c>
      <c r="K43">
        <v>5</v>
      </c>
      <c r="L43">
        <v>40</v>
      </c>
      <c r="M43" t="s">
        <v>83</v>
      </c>
      <c r="N43">
        <v>40</v>
      </c>
      <c r="O43" t="s">
        <v>102</v>
      </c>
    </row>
    <row r="44" spans="1:15" x14ac:dyDescent="0.25">
      <c r="A44" t="e">
        <f>#REF!</f>
        <v>#REF!</v>
      </c>
      <c r="B44" t="e">
        <f>#REF!</f>
        <v>#REF!</v>
      </c>
      <c r="C44">
        <v>5</v>
      </c>
      <c r="D44" t="s">
        <v>82</v>
      </c>
      <c r="E44" t="s">
        <v>76</v>
      </c>
      <c r="F44" t="s">
        <v>95</v>
      </c>
      <c r="G44" t="s">
        <v>78</v>
      </c>
      <c r="H44" t="b">
        <v>0</v>
      </c>
      <c r="I44" t="b">
        <v>0</v>
      </c>
      <c r="J44" t="s">
        <v>79</v>
      </c>
      <c r="K44">
        <v>15</v>
      </c>
      <c r="L44">
        <v>30</v>
      </c>
      <c r="M44" t="s">
        <v>83</v>
      </c>
      <c r="N44">
        <v>30</v>
      </c>
      <c r="O44" t="s">
        <v>98</v>
      </c>
    </row>
    <row r="45" spans="1:15" x14ac:dyDescent="0.25">
      <c r="A45" t="e">
        <f>#REF!</f>
        <v>#REF!</v>
      </c>
      <c r="B45" t="e">
        <f>#REF!</f>
        <v>#REF!</v>
      </c>
      <c r="C45">
        <v>5</v>
      </c>
      <c r="D45" t="s">
        <v>75</v>
      </c>
      <c r="E45" t="s">
        <v>76</v>
      </c>
      <c r="F45" t="s">
        <v>77</v>
      </c>
      <c r="G45" t="s">
        <v>78</v>
      </c>
      <c r="H45" t="b">
        <v>0</v>
      </c>
      <c r="I45" t="b">
        <v>0</v>
      </c>
      <c r="J45" t="s">
        <v>79</v>
      </c>
      <c r="K45">
        <v>25</v>
      </c>
      <c r="L45">
        <v>20</v>
      </c>
      <c r="M45" t="s">
        <v>80</v>
      </c>
      <c r="N45">
        <v>25</v>
      </c>
      <c r="O45" t="s">
        <v>81</v>
      </c>
    </row>
    <row r="46" spans="1:15" x14ac:dyDescent="0.25">
      <c r="A46" t="e">
        <f>#REF!</f>
        <v>#REF!</v>
      </c>
      <c r="B46" t="e">
        <f>#REF!</f>
        <v>#REF!</v>
      </c>
      <c r="C46">
        <v>5</v>
      </c>
      <c r="D46" t="s">
        <v>75</v>
      </c>
      <c r="E46" t="s">
        <v>76</v>
      </c>
      <c r="F46" t="s">
        <v>89</v>
      </c>
      <c r="G46" t="s">
        <v>78</v>
      </c>
      <c r="H46" t="b">
        <v>1</v>
      </c>
      <c r="I46" t="b">
        <v>0</v>
      </c>
      <c r="J46" t="s">
        <v>87</v>
      </c>
      <c r="K46">
        <v>25</v>
      </c>
      <c r="L46">
        <v>25</v>
      </c>
      <c r="M46" t="s">
        <v>103</v>
      </c>
      <c r="N46">
        <v>25</v>
      </c>
      <c r="O46" t="s">
        <v>104</v>
      </c>
    </row>
    <row r="47" spans="1:15" x14ac:dyDescent="0.25">
      <c r="A47" t="e">
        <f>#REF!</f>
        <v>#REF!</v>
      </c>
      <c r="B47" t="e">
        <f>#REF!</f>
        <v>#REF!</v>
      </c>
      <c r="C47">
        <v>5</v>
      </c>
      <c r="D47" t="s">
        <v>82</v>
      </c>
      <c r="E47" t="s">
        <v>76</v>
      </c>
      <c r="F47" t="s">
        <v>77</v>
      </c>
      <c r="G47" t="s">
        <v>78</v>
      </c>
      <c r="H47" t="b">
        <v>0</v>
      </c>
      <c r="I47" t="b">
        <v>0</v>
      </c>
      <c r="J47" t="s">
        <v>79</v>
      </c>
      <c r="K47">
        <v>15</v>
      </c>
      <c r="L47">
        <v>30</v>
      </c>
      <c r="M47" t="s">
        <v>83</v>
      </c>
      <c r="N47">
        <v>30</v>
      </c>
      <c r="O47" t="s">
        <v>84</v>
      </c>
    </row>
    <row r="48" spans="1:15" x14ac:dyDescent="0.25">
      <c r="A48" t="e">
        <f>#REF!</f>
        <v>#REF!</v>
      </c>
      <c r="B48" t="e">
        <f>#REF!</f>
        <v>#REF!</v>
      </c>
      <c r="C48">
        <v>5</v>
      </c>
      <c r="D48" t="s">
        <v>75</v>
      </c>
      <c r="E48" t="s">
        <v>76</v>
      </c>
      <c r="F48" t="s">
        <v>77</v>
      </c>
      <c r="G48" t="s">
        <v>78</v>
      </c>
      <c r="H48" t="b">
        <v>0</v>
      </c>
      <c r="I48" t="b">
        <v>0</v>
      </c>
      <c r="J48" t="s">
        <v>79</v>
      </c>
      <c r="K48">
        <v>25</v>
      </c>
      <c r="L48">
        <v>20</v>
      </c>
      <c r="M48" t="s">
        <v>80</v>
      </c>
      <c r="N48">
        <v>25</v>
      </c>
      <c r="O48" t="s">
        <v>81</v>
      </c>
    </row>
    <row r="49" spans="1:15" x14ac:dyDescent="0.25">
      <c r="A49" t="e">
        <f>#REF!</f>
        <v>#REF!</v>
      </c>
      <c r="B49" t="e">
        <f>#REF!</f>
        <v>#REF!</v>
      </c>
      <c r="C49">
        <v>5</v>
      </c>
      <c r="D49" t="s">
        <v>82</v>
      </c>
      <c r="E49" t="s">
        <v>94</v>
      </c>
      <c r="F49" t="s">
        <v>89</v>
      </c>
      <c r="G49" t="s">
        <v>78</v>
      </c>
      <c r="H49" t="b">
        <v>0</v>
      </c>
      <c r="I49" t="b">
        <v>0</v>
      </c>
      <c r="J49" t="s">
        <v>79</v>
      </c>
      <c r="K49">
        <v>15</v>
      </c>
      <c r="L49">
        <v>30</v>
      </c>
      <c r="M49" t="s">
        <v>83</v>
      </c>
      <c r="N49">
        <v>30</v>
      </c>
      <c r="O49" t="s">
        <v>97</v>
      </c>
    </row>
    <row r="50" spans="1:15" x14ac:dyDescent="0.25">
      <c r="A50" t="e">
        <f>#REF!</f>
        <v>#REF!</v>
      </c>
      <c r="B50" t="e">
        <f>#REF!</f>
        <v>#REF!</v>
      </c>
      <c r="C50">
        <v>5</v>
      </c>
      <c r="D50" t="s">
        <v>75</v>
      </c>
      <c r="E50" t="s">
        <v>76</v>
      </c>
      <c r="F50" t="s">
        <v>89</v>
      </c>
      <c r="G50" t="s">
        <v>78</v>
      </c>
      <c r="H50" t="b">
        <v>0</v>
      </c>
      <c r="I50" t="b">
        <v>0</v>
      </c>
      <c r="J50" t="s">
        <v>79</v>
      </c>
      <c r="K50">
        <v>15</v>
      </c>
      <c r="L50">
        <v>30</v>
      </c>
      <c r="M50" t="s">
        <v>83</v>
      </c>
      <c r="N50">
        <v>30</v>
      </c>
      <c r="O50" t="s">
        <v>90</v>
      </c>
    </row>
    <row r="51" spans="1:15" x14ac:dyDescent="0.25">
      <c r="A51" t="e">
        <f>#REF!</f>
        <v>#REF!</v>
      </c>
      <c r="B51" t="e">
        <f>#REF!</f>
        <v>#REF!</v>
      </c>
      <c r="C51">
        <v>5</v>
      </c>
      <c r="D51" t="s">
        <v>82</v>
      </c>
      <c r="E51" t="s">
        <v>76</v>
      </c>
      <c r="F51" t="s">
        <v>77</v>
      </c>
      <c r="G51" t="s">
        <v>78</v>
      </c>
      <c r="H51" t="b">
        <v>0</v>
      </c>
      <c r="I51" t="b">
        <v>0</v>
      </c>
      <c r="J51" t="s">
        <v>79</v>
      </c>
      <c r="K51">
        <v>15</v>
      </c>
      <c r="L51">
        <v>30</v>
      </c>
      <c r="M51" t="s">
        <v>83</v>
      </c>
      <c r="N51">
        <v>30</v>
      </c>
      <c r="O51" t="s">
        <v>84</v>
      </c>
    </row>
    <row r="52" spans="1:15" x14ac:dyDescent="0.25">
      <c r="A52" t="e">
        <f>#REF!</f>
        <v>#REF!</v>
      </c>
      <c r="B52" t="e">
        <f>#REF!</f>
        <v>#REF!</v>
      </c>
      <c r="C52">
        <v>10</v>
      </c>
      <c r="D52" t="s">
        <v>75</v>
      </c>
      <c r="E52" t="s">
        <v>76</v>
      </c>
      <c r="F52" t="s">
        <v>77</v>
      </c>
      <c r="G52" t="s">
        <v>78</v>
      </c>
      <c r="H52" t="b">
        <v>1</v>
      </c>
      <c r="I52" t="b">
        <v>0</v>
      </c>
      <c r="J52" t="s">
        <v>79</v>
      </c>
      <c r="K52">
        <v>35</v>
      </c>
      <c r="L52">
        <v>25</v>
      </c>
      <c r="M52" t="s">
        <v>80</v>
      </c>
      <c r="N52">
        <v>35</v>
      </c>
      <c r="O52" t="s">
        <v>81</v>
      </c>
    </row>
    <row r="53" spans="1:15" x14ac:dyDescent="0.25">
      <c r="A53" t="e">
        <f>#REF!</f>
        <v>#REF!</v>
      </c>
      <c r="B53" t="e">
        <f>#REF!</f>
        <v>#REF!</v>
      </c>
      <c r="C53">
        <v>10</v>
      </c>
      <c r="D53" t="s">
        <v>82</v>
      </c>
      <c r="E53" t="s">
        <v>76</v>
      </c>
      <c r="F53" t="s">
        <v>77</v>
      </c>
      <c r="G53" t="s">
        <v>78</v>
      </c>
      <c r="H53" t="b">
        <v>1</v>
      </c>
      <c r="I53" t="b">
        <v>0</v>
      </c>
      <c r="J53" t="s">
        <v>79</v>
      </c>
      <c r="K53">
        <v>25</v>
      </c>
      <c r="L53">
        <v>35</v>
      </c>
      <c r="M53" t="s">
        <v>83</v>
      </c>
      <c r="N53">
        <v>35</v>
      </c>
      <c r="O53" t="s">
        <v>84</v>
      </c>
    </row>
    <row r="54" spans="1:15" x14ac:dyDescent="0.25">
      <c r="A54" t="e">
        <f>#REF!</f>
        <v>#REF!</v>
      </c>
      <c r="B54" t="e">
        <f>#REF!</f>
        <v>#REF!</v>
      </c>
      <c r="C54">
        <v>10</v>
      </c>
      <c r="D54" t="s">
        <v>82</v>
      </c>
      <c r="E54" t="s">
        <v>76</v>
      </c>
      <c r="F54" t="s">
        <v>77</v>
      </c>
      <c r="G54" t="s">
        <v>78</v>
      </c>
      <c r="H54" t="b">
        <v>0</v>
      </c>
      <c r="I54" t="b">
        <v>0</v>
      </c>
      <c r="J54" t="s">
        <v>79</v>
      </c>
      <c r="K54">
        <v>20</v>
      </c>
      <c r="L54">
        <v>35</v>
      </c>
      <c r="M54" t="s">
        <v>83</v>
      </c>
      <c r="N54">
        <v>35</v>
      </c>
      <c r="O54" t="s">
        <v>84</v>
      </c>
    </row>
    <row r="55" spans="1:15" x14ac:dyDescent="0.25">
      <c r="A55" t="e">
        <f>#REF!</f>
        <v>#REF!</v>
      </c>
      <c r="B55" t="e">
        <f>#REF!</f>
        <v>#REF!</v>
      </c>
      <c r="C55">
        <v>10</v>
      </c>
      <c r="D55" t="s">
        <v>75</v>
      </c>
      <c r="E55" t="s">
        <v>76</v>
      </c>
      <c r="F55" t="s">
        <v>77</v>
      </c>
      <c r="G55" t="s">
        <v>78</v>
      </c>
      <c r="H55" t="b">
        <v>0</v>
      </c>
      <c r="I55" t="b">
        <v>0</v>
      </c>
      <c r="J55" t="s">
        <v>87</v>
      </c>
      <c r="K55">
        <v>35</v>
      </c>
      <c r="L55">
        <v>20</v>
      </c>
      <c r="M55" t="s">
        <v>80</v>
      </c>
      <c r="N55">
        <v>35</v>
      </c>
      <c r="O55" t="s">
        <v>88</v>
      </c>
    </row>
    <row r="56" spans="1:15" x14ac:dyDescent="0.25">
      <c r="A56" t="e">
        <f>#REF!</f>
        <v>#REF!</v>
      </c>
      <c r="B56" t="e">
        <f>#REF!</f>
        <v>#REF!</v>
      </c>
      <c r="C56">
        <v>5</v>
      </c>
      <c r="D56" t="s">
        <v>82</v>
      </c>
      <c r="E56" t="s">
        <v>94</v>
      </c>
      <c r="F56" t="s">
        <v>77</v>
      </c>
      <c r="G56" t="s">
        <v>78</v>
      </c>
      <c r="H56" t="b">
        <v>0</v>
      </c>
      <c r="I56" t="b">
        <v>0</v>
      </c>
      <c r="J56" t="s">
        <v>87</v>
      </c>
      <c r="K56">
        <v>30</v>
      </c>
      <c r="L56">
        <v>15</v>
      </c>
      <c r="M56" t="s">
        <v>80</v>
      </c>
      <c r="N56">
        <v>30</v>
      </c>
      <c r="O56" t="s">
        <v>105</v>
      </c>
    </row>
    <row r="57" spans="1:15" x14ac:dyDescent="0.25">
      <c r="A57" t="e">
        <f>#REF!</f>
        <v>#REF!</v>
      </c>
      <c r="B57" t="e">
        <f>#REF!</f>
        <v>#REF!</v>
      </c>
      <c r="C57">
        <v>5</v>
      </c>
      <c r="D57" t="s">
        <v>75</v>
      </c>
      <c r="E57" t="s">
        <v>76</v>
      </c>
      <c r="F57" t="s">
        <v>77</v>
      </c>
      <c r="G57" t="s">
        <v>78</v>
      </c>
      <c r="H57" t="b">
        <v>0</v>
      </c>
      <c r="I57" t="b">
        <v>0</v>
      </c>
      <c r="J57" t="s">
        <v>79</v>
      </c>
      <c r="K57">
        <v>25</v>
      </c>
      <c r="L57">
        <v>20</v>
      </c>
      <c r="M57" t="s">
        <v>80</v>
      </c>
      <c r="N57">
        <v>25</v>
      </c>
      <c r="O57" t="s">
        <v>81</v>
      </c>
    </row>
    <row r="58" spans="1:15" x14ac:dyDescent="0.25">
      <c r="A58" t="e">
        <f>#REF!</f>
        <v>#REF!</v>
      </c>
      <c r="B58" t="e">
        <f>#REF!</f>
        <v>#REF!</v>
      </c>
      <c r="C58">
        <v>10</v>
      </c>
      <c r="D58" t="s">
        <v>82</v>
      </c>
      <c r="E58" t="s">
        <v>94</v>
      </c>
      <c r="F58" t="s">
        <v>77</v>
      </c>
      <c r="G58" t="s">
        <v>78</v>
      </c>
      <c r="H58" t="b">
        <v>0</v>
      </c>
      <c r="I58" t="b">
        <v>0</v>
      </c>
      <c r="J58" t="s">
        <v>87</v>
      </c>
      <c r="K58">
        <v>35</v>
      </c>
      <c r="L58">
        <v>20</v>
      </c>
      <c r="M58" t="s">
        <v>80</v>
      </c>
      <c r="N58">
        <v>35</v>
      </c>
      <c r="O58" t="s">
        <v>105</v>
      </c>
    </row>
    <row r="59" spans="1:15" x14ac:dyDescent="0.25">
      <c r="A59" t="e">
        <f>#REF!</f>
        <v>#REF!</v>
      </c>
      <c r="B59" t="e">
        <f>#REF!</f>
        <v>#REF!</v>
      </c>
      <c r="C59">
        <v>5</v>
      </c>
      <c r="D59" t="s">
        <v>75</v>
      </c>
      <c r="E59" t="s">
        <v>76</v>
      </c>
      <c r="F59" t="s">
        <v>77</v>
      </c>
      <c r="G59" t="s">
        <v>78</v>
      </c>
      <c r="H59" t="b">
        <v>0</v>
      </c>
      <c r="I59" t="b">
        <v>0</v>
      </c>
      <c r="J59" t="s">
        <v>79</v>
      </c>
      <c r="K59">
        <v>25</v>
      </c>
      <c r="L59">
        <v>20</v>
      </c>
      <c r="M59" t="s">
        <v>80</v>
      </c>
      <c r="N59">
        <v>25</v>
      </c>
      <c r="O59" t="s">
        <v>81</v>
      </c>
    </row>
    <row r="60" spans="1:15" x14ac:dyDescent="0.25">
      <c r="A60" t="e">
        <f>#REF!</f>
        <v>#REF!</v>
      </c>
      <c r="B60" t="e">
        <f>#REF!</f>
        <v>#REF!</v>
      </c>
      <c r="C60">
        <v>10</v>
      </c>
      <c r="D60" t="s">
        <v>82</v>
      </c>
      <c r="E60" t="s">
        <v>94</v>
      </c>
      <c r="F60" t="s">
        <v>77</v>
      </c>
      <c r="G60" t="s">
        <v>78</v>
      </c>
      <c r="H60" t="b">
        <v>0</v>
      </c>
      <c r="I60" t="b">
        <v>0</v>
      </c>
      <c r="J60" t="s">
        <v>79</v>
      </c>
      <c r="K60">
        <v>30</v>
      </c>
      <c r="L60">
        <v>25</v>
      </c>
      <c r="M60" t="s">
        <v>80</v>
      </c>
      <c r="N60">
        <v>30</v>
      </c>
      <c r="O60" t="s">
        <v>106</v>
      </c>
    </row>
    <row r="61" spans="1:15" x14ac:dyDescent="0.25">
      <c r="A61" t="e">
        <f>#REF!</f>
        <v>#REF!</v>
      </c>
      <c r="B61" t="e">
        <f>#REF!</f>
        <v>#REF!</v>
      </c>
      <c r="C61">
        <v>10</v>
      </c>
      <c r="D61" t="s">
        <v>82</v>
      </c>
      <c r="E61" t="s">
        <v>76</v>
      </c>
      <c r="F61" t="s">
        <v>89</v>
      </c>
      <c r="G61" t="s">
        <v>78</v>
      </c>
      <c r="H61" t="b">
        <v>0</v>
      </c>
      <c r="I61" t="b">
        <v>0</v>
      </c>
      <c r="J61" t="s">
        <v>79</v>
      </c>
      <c r="K61">
        <v>10</v>
      </c>
      <c r="L61">
        <v>45</v>
      </c>
      <c r="M61" t="s">
        <v>83</v>
      </c>
      <c r="N61">
        <v>45</v>
      </c>
      <c r="O61" t="s">
        <v>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D67B-DF4D-4788-B093-BBA06539C5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1D86F-7807-4BA7-8DEF-C10F82BD51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Universe</vt:lpstr>
      <vt:lpstr>RawData</vt:lpstr>
      <vt:lpstr>RawData_Query</vt:lpstr>
      <vt:lpstr>LogicEngine</vt:lpstr>
      <vt:lpstr>Dashboard</vt:lpstr>
      <vt:lpstr>RawData!ExternalData_3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Pointek</dc:creator>
  <cp:lastModifiedBy>Michael Pointek</cp:lastModifiedBy>
  <dcterms:created xsi:type="dcterms:W3CDTF">2026-05-27T03:29:35Z</dcterms:created>
  <dcterms:modified xsi:type="dcterms:W3CDTF">2026-05-27T04:50:43Z</dcterms:modified>
</cp:coreProperties>
</file>