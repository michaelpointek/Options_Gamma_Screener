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hillyard-my.sharepoint.com/personal/mpointek_hillyard_com/Documents/Documents/GitHub/Options_Gamma_Screener/"/>
    </mc:Choice>
  </mc:AlternateContent>
  <xr:revisionPtr revIDLastSave="194" documentId="8_{835722F4-3F03-4354-8F0C-714947D5DA93}" xr6:coauthVersionLast="47" xr6:coauthVersionMax="47" xr10:uidLastSave="{872E5652-55F4-4269-BA9D-C721E9B25C87}"/>
  <bookViews>
    <workbookView xWindow="28680" yWindow="-120" windowWidth="29040" windowHeight="15720" activeTab="3" xr2:uid="{AA27B4F1-CA87-4D6B-ADA8-E6CB695411E2}"/>
  </bookViews>
  <sheets>
    <sheet name="Universe" sheetId="1" r:id="rId1"/>
    <sheet name="RawData" sheetId="8" r:id="rId2"/>
    <sheet name="LogicEngine" sheetId="3" r:id="rId3"/>
    <sheet name="Dashboard" sheetId="4" r:id="rId4"/>
  </sheets>
  <definedNames>
    <definedName name="ExternalData_3" localSheetId="1" hidden="1">RawData!$A$1:$Y$61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3" l="1"/>
  <c r="S2" i="3" s="1"/>
  <c r="F3" i="3"/>
  <c r="S3" i="3" s="1"/>
  <c r="F4" i="3"/>
  <c r="S4" i="3" s="1"/>
  <c r="F5" i="3"/>
  <c r="S5" i="3" s="1"/>
  <c r="F6" i="3"/>
  <c r="S6" i="3" s="1"/>
  <c r="F7" i="3"/>
  <c r="S7" i="3" s="1"/>
  <c r="F8" i="3"/>
  <c r="S8" i="3" s="1"/>
  <c r="F9" i="3"/>
  <c r="S9" i="3" s="1"/>
  <c r="F10" i="3"/>
  <c r="S10" i="3" s="1"/>
  <c r="F11" i="3"/>
  <c r="S11" i="3" s="1"/>
  <c r="F12" i="3"/>
  <c r="S12" i="3" s="1"/>
  <c r="F13" i="3"/>
  <c r="S13" i="3" s="1"/>
  <c r="F14" i="3"/>
  <c r="S14" i="3" s="1"/>
  <c r="F15" i="3"/>
  <c r="S15" i="3" s="1"/>
  <c r="F16" i="3"/>
  <c r="S16" i="3" s="1"/>
  <c r="F17" i="3"/>
  <c r="S17" i="3" s="1"/>
  <c r="F18" i="3"/>
  <c r="S18" i="3" s="1"/>
  <c r="F19" i="3"/>
  <c r="S19" i="3" s="1"/>
  <c r="F20" i="3"/>
  <c r="S20" i="3" s="1"/>
  <c r="F21" i="3"/>
  <c r="S21" i="3" s="1"/>
  <c r="F22" i="3"/>
  <c r="S22" i="3" s="1"/>
  <c r="F23" i="3"/>
  <c r="S23" i="3" s="1"/>
  <c r="F24" i="3"/>
  <c r="S24" i="3" s="1"/>
  <c r="F25" i="3"/>
  <c r="S25" i="3" s="1"/>
  <c r="F26" i="3"/>
  <c r="S26" i="3" s="1"/>
  <c r="F27" i="3"/>
  <c r="S27" i="3" s="1"/>
  <c r="F28" i="3"/>
  <c r="S28" i="3" s="1"/>
  <c r="F29" i="3"/>
  <c r="S29" i="3" s="1"/>
  <c r="F30" i="3"/>
  <c r="S30" i="3" s="1"/>
  <c r="F31" i="3"/>
  <c r="S31" i="3" s="1"/>
  <c r="F32" i="3"/>
  <c r="S32" i="3" s="1"/>
  <c r="F33" i="3"/>
  <c r="S33" i="3" s="1"/>
  <c r="F34" i="3"/>
  <c r="S34" i="3" s="1"/>
  <c r="F35" i="3"/>
  <c r="S35" i="3" s="1"/>
  <c r="F36" i="3"/>
  <c r="S36" i="3" s="1"/>
  <c r="F37" i="3"/>
  <c r="S37" i="3" s="1"/>
  <c r="F38" i="3"/>
  <c r="S38" i="3" s="1"/>
  <c r="F39" i="3"/>
  <c r="S39" i="3" s="1"/>
  <c r="F40" i="3"/>
  <c r="S40" i="3" s="1"/>
  <c r="F41" i="3"/>
  <c r="S41" i="3" s="1"/>
  <c r="F42" i="3"/>
  <c r="S42" i="3" s="1"/>
  <c r="F43" i="3"/>
  <c r="S43" i="3" s="1"/>
  <c r="F44" i="3"/>
  <c r="S44" i="3" s="1"/>
  <c r="F45" i="3"/>
  <c r="S45" i="3" s="1"/>
  <c r="F46" i="3"/>
  <c r="S46" i="3" s="1"/>
  <c r="F47" i="3"/>
  <c r="S47" i="3" s="1"/>
  <c r="F48" i="3"/>
  <c r="S48" i="3" s="1"/>
  <c r="F49" i="3"/>
  <c r="S49" i="3" s="1"/>
  <c r="F50" i="3"/>
  <c r="S50" i="3" s="1"/>
  <c r="F51" i="3"/>
  <c r="S51" i="3" s="1"/>
  <c r="F52" i="3"/>
  <c r="S52" i="3" s="1"/>
  <c r="F53" i="3"/>
  <c r="S53" i="3" s="1"/>
  <c r="F54" i="3"/>
  <c r="S54" i="3" s="1"/>
  <c r="F55" i="3"/>
  <c r="S55" i="3" s="1"/>
  <c r="F56" i="3"/>
  <c r="S56" i="3" s="1"/>
  <c r="F57" i="3"/>
  <c r="S57" i="3" s="1"/>
  <c r="F58" i="3"/>
  <c r="S58" i="3" s="1"/>
  <c r="F59" i="3"/>
  <c r="S59" i="3" s="1"/>
  <c r="F60" i="3"/>
  <c r="S60" i="3" s="1"/>
  <c r="F61" i="3"/>
  <c r="S61" i="3" s="1"/>
  <c r="M42" i="3" l="1"/>
  <c r="L42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J3" i="3"/>
  <c r="J2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I2" i="3"/>
  <c r="I3" i="3"/>
  <c r="U3" i="3" s="1"/>
  <c r="I4" i="3"/>
  <c r="U4" i="3" s="1"/>
  <c r="I5" i="3"/>
  <c r="U5" i="3" s="1"/>
  <c r="I6" i="3"/>
  <c r="U6" i="3" s="1"/>
  <c r="I7" i="3"/>
  <c r="U7" i="3" s="1"/>
  <c r="I8" i="3"/>
  <c r="U8" i="3" s="1"/>
  <c r="I9" i="3"/>
  <c r="U9" i="3" s="1"/>
  <c r="I10" i="3"/>
  <c r="U10" i="3" s="1"/>
  <c r="I11" i="3"/>
  <c r="U11" i="3" s="1"/>
  <c r="I12" i="3"/>
  <c r="U12" i="3" s="1"/>
  <c r="I13" i="3"/>
  <c r="U13" i="3" s="1"/>
  <c r="I14" i="3"/>
  <c r="U14" i="3" s="1"/>
  <c r="I15" i="3"/>
  <c r="U15" i="3" s="1"/>
  <c r="I16" i="3"/>
  <c r="U16" i="3" s="1"/>
  <c r="I17" i="3"/>
  <c r="U17" i="3" s="1"/>
  <c r="I18" i="3"/>
  <c r="U18" i="3" s="1"/>
  <c r="I19" i="3"/>
  <c r="I20" i="3"/>
  <c r="U20" i="3" s="1"/>
  <c r="I21" i="3"/>
  <c r="U21" i="3" s="1"/>
  <c r="I22" i="3"/>
  <c r="U22" i="3" s="1"/>
  <c r="I23" i="3"/>
  <c r="U23" i="3" s="1"/>
  <c r="I24" i="3"/>
  <c r="U24" i="3" s="1"/>
  <c r="I25" i="3"/>
  <c r="U25" i="3" s="1"/>
  <c r="I26" i="3"/>
  <c r="U26" i="3" s="1"/>
  <c r="I27" i="3"/>
  <c r="U27" i="3" s="1"/>
  <c r="I28" i="3"/>
  <c r="U28" i="3" s="1"/>
  <c r="I29" i="3"/>
  <c r="U29" i="3" s="1"/>
  <c r="I30" i="3"/>
  <c r="U30" i="3" s="1"/>
  <c r="I31" i="3"/>
  <c r="I32" i="3"/>
  <c r="U32" i="3" s="1"/>
  <c r="I33" i="3"/>
  <c r="U33" i="3" s="1"/>
  <c r="I34" i="3"/>
  <c r="U34" i="3" s="1"/>
  <c r="I35" i="3"/>
  <c r="U35" i="3" s="1"/>
  <c r="I36" i="3"/>
  <c r="U36" i="3" s="1"/>
  <c r="I37" i="3"/>
  <c r="U37" i="3" s="1"/>
  <c r="I38" i="3"/>
  <c r="U38" i="3" s="1"/>
  <c r="I39" i="3"/>
  <c r="U39" i="3" s="1"/>
  <c r="I40" i="3"/>
  <c r="U40" i="3" s="1"/>
  <c r="I41" i="3"/>
  <c r="U41" i="3" s="1"/>
  <c r="I42" i="3"/>
  <c r="U42" i="3" s="1"/>
  <c r="I43" i="3"/>
  <c r="U43" i="3" s="1"/>
  <c r="I44" i="3"/>
  <c r="U44" i="3" s="1"/>
  <c r="I45" i="3"/>
  <c r="U45" i="3" s="1"/>
  <c r="I46" i="3"/>
  <c r="U46" i="3" s="1"/>
  <c r="I47" i="3"/>
  <c r="U47" i="3" s="1"/>
  <c r="I48" i="3"/>
  <c r="U48" i="3" s="1"/>
  <c r="I49" i="3"/>
  <c r="U49" i="3" s="1"/>
  <c r="I50" i="3"/>
  <c r="U50" i="3" s="1"/>
  <c r="I51" i="3"/>
  <c r="U51" i="3" s="1"/>
  <c r="I52" i="3"/>
  <c r="U52" i="3" s="1"/>
  <c r="I53" i="3"/>
  <c r="U53" i="3" s="1"/>
  <c r="I54" i="3"/>
  <c r="U54" i="3" s="1"/>
  <c r="I55" i="3"/>
  <c r="U55" i="3" s="1"/>
  <c r="I56" i="3"/>
  <c r="U56" i="3" s="1"/>
  <c r="I57" i="3"/>
  <c r="U57" i="3" s="1"/>
  <c r="I58" i="3"/>
  <c r="U58" i="3" s="1"/>
  <c r="I59" i="3"/>
  <c r="U59" i="3" s="1"/>
  <c r="I60" i="3"/>
  <c r="U60" i="3" s="1"/>
  <c r="I61" i="3"/>
  <c r="U61" i="3" s="1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E3" i="3"/>
  <c r="R3" i="3" s="1"/>
  <c r="E4" i="3"/>
  <c r="R4" i="3" s="1"/>
  <c r="E5" i="3"/>
  <c r="R5" i="3" s="1"/>
  <c r="E6" i="3"/>
  <c r="R6" i="3" s="1"/>
  <c r="E7" i="3"/>
  <c r="R7" i="3" s="1"/>
  <c r="E8" i="3"/>
  <c r="R8" i="3" s="1"/>
  <c r="E9" i="3"/>
  <c r="R9" i="3" s="1"/>
  <c r="E10" i="3"/>
  <c r="R10" i="3" s="1"/>
  <c r="E11" i="3"/>
  <c r="R11" i="3" s="1"/>
  <c r="E12" i="3"/>
  <c r="R12" i="3" s="1"/>
  <c r="E13" i="3"/>
  <c r="R13" i="3" s="1"/>
  <c r="E14" i="3"/>
  <c r="R14" i="3" s="1"/>
  <c r="E15" i="3"/>
  <c r="R15" i="3" s="1"/>
  <c r="E16" i="3"/>
  <c r="R16" i="3" s="1"/>
  <c r="E17" i="3"/>
  <c r="R17" i="3" s="1"/>
  <c r="E18" i="3"/>
  <c r="R18" i="3" s="1"/>
  <c r="E19" i="3"/>
  <c r="R19" i="3" s="1"/>
  <c r="E20" i="3"/>
  <c r="R20" i="3" s="1"/>
  <c r="E21" i="3"/>
  <c r="R21" i="3" s="1"/>
  <c r="E22" i="3"/>
  <c r="R22" i="3" s="1"/>
  <c r="E23" i="3"/>
  <c r="R23" i="3" s="1"/>
  <c r="E24" i="3"/>
  <c r="R24" i="3" s="1"/>
  <c r="E25" i="3"/>
  <c r="R25" i="3" s="1"/>
  <c r="E26" i="3"/>
  <c r="R26" i="3" s="1"/>
  <c r="E27" i="3"/>
  <c r="R27" i="3" s="1"/>
  <c r="E28" i="3"/>
  <c r="R28" i="3" s="1"/>
  <c r="E29" i="3"/>
  <c r="R29" i="3" s="1"/>
  <c r="E30" i="3"/>
  <c r="R30" i="3" s="1"/>
  <c r="E31" i="3"/>
  <c r="R31" i="3" s="1"/>
  <c r="E32" i="3"/>
  <c r="R32" i="3" s="1"/>
  <c r="E33" i="3"/>
  <c r="R33" i="3" s="1"/>
  <c r="E34" i="3"/>
  <c r="R34" i="3" s="1"/>
  <c r="E35" i="3"/>
  <c r="R35" i="3" s="1"/>
  <c r="E36" i="3"/>
  <c r="R36" i="3" s="1"/>
  <c r="E37" i="3"/>
  <c r="R37" i="3" s="1"/>
  <c r="E38" i="3"/>
  <c r="R38" i="3" s="1"/>
  <c r="E39" i="3"/>
  <c r="R39" i="3" s="1"/>
  <c r="E40" i="3"/>
  <c r="R40" i="3" s="1"/>
  <c r="E41" i="3"/>
  <c r="R41" i="3" s="1"/>
  <c r="E42" i="3"/>
  <c r="R42" i="3" s="1"/>
  <c r="E43" i="3"/>
  <c r="R43" i="3" s="1"/>
  <c r="E44" i="3"/>
  <c r="R44" i="3" s="1"/>
  <c r="E45" i="3"/>
  <c r="R45" i="3" s="1"/>
  <c r="E46" i="3"/>
  <c r="R46" i="3" s="1"/>
  <c r="E47" i="3"/>
  <c r="R47" i="3" s="1"/>
  <c r="E48" i="3"/>
  <c r="R48" i="3" s="1"/>
  <c r="E49" i="3"/>
  <c r="R49" i="3" s="1"/>
  <c r="E50" i="3"/>
  <c r="R50" i="3" s="1"/>
  <c r="E51" i="3"/>
  <c r="R51" i="3" s="1"/>
  <c r="E52" i="3"/>
  <c r="R52" i="3" s="1"/>
  <c r="E53" i="3"/>
  <c r="R53" i="3" s="1"/>
  <c r="E54" i="3"/>
  <c r="R54" i="3" s="1"/>
  <c r="E55" i="3"/>
  <c r="R55" i="3" s="1"/>
  <c r="E56" i="3"/>
  <c r="R56" i="3" s="1"/>
  <c r="E57" i="3"/>
  <c r="R57" i="3" s="1"/>
  <c r="E58" i="3"/>
  <c r="R58" i="3" s="1"/>
  <c r="E59" i="3"/>
  <c r="R59" i="3" s="1"/>
  <c r="E60" i="3"/>
  <c r="R60" i="3" s="1"/>
  <c r="E61" i="3"/>
  <c r="R61" i="3" s="1"/>
  <c r="E2" i="3"/>
  <c r="R2" i="3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B2" i="3"/>
  <c r="C2" i="3" s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U31" i="3" l="1"/>
  <c r="U19" i="3"/>
  <c r="Q42" i="3"/>
  <c r="Q29" i="3"/>
  <c r="Q5" i="3"/>
  <c r="Q3" i="3"/>
  <c r="L3" i="4" a="1"/>
  <c r="L3" i="4" s="1"/>
  <c r="Q2" i="3"/>
  <c r="I3" i="4" a="1"/>
  <c r="I3" i="4" s="1"/>
  <c r="U2" i="3"/>
  <c r="Q25" i="3"/>
  <c r="M45" i="3"/>
  <c r="Q45" i="3"/>
  <c r="M21" i="3"/>
  <c r="Q21" i="3"/>
  <c r="M9" i="3"/>
  <c r="Q9" i="3"/>
  <c r="H57" i="3" a="1"/>
  <c r="H57" i="3" s="1"/>
  <c r="W57" i="3" s="1" a="1"/>
  <c r="W57" i="3" s="1"/>
  <c r="T57" i="3"/>
  <c r="H45" i="3" a="1"/>
  <c r="H45" i="3" s="1"/>
  <c r="W45" i="3" s="1" a="1"/>
  <c r="W45" i="3" s="1"/>
  <c r="T45" i="3"/>
  <c r="H33" i="3" a="1"/>
  <c r="H33" i="3" s="1"/>
  <c r="W33" i="3" s="1" a="1"/>
  <c r="W33" i="3" s="1"/>
  <c r="T33" i="3"/>
  <c r="H21" i="3" a="1"/>
  <c r="H21" i="3" s="1"/>
  <c r="W21" i="3" s="1" a="1"/>
  <c r="W21" i="3" s="1"/>
  <c r="T21" i="3"/>
  <c r="H9" i="3" a="1"/>
  <c r="H9" i="3" s="1"/>
  <c r="W9" i="3" s="1" a="1"/>
  <c r="W9" i="3" s="1"/>
  <c r="T9" i="3"/>
  <c r="H23" i="3" a="1"/>
  <c r="H23" i="3" s="1"/>
  <c r="W23" i="3" s="1" a="1"/>
  <c r="W23" i="3" s="1"/>
  <c r="T23" i="3"/>
  <c r="H46" i="3" a="1"/>
  <c r="H46" i="3" s="1"/>
  <c r="W46" i="3" s="1" a="1"/>
  <c r="W46" i="3" s="1"/>
  <c r="T46" i="3"/>
  <c r="M57" i="3"/>
  <c r="Q57" i="3"/>
  <c r="M33" i="3"/>
  <c r="Q33" i="3"/>
  <c r="V33" i="3" s="1"/>
  <c r="M56" i="3"/>
  <c r="Q56" i="3"/>
  <c r="M44" i="3"/>
  <c r="Q44" i="3"/>
  <c r="M32" i="3"/>
  <c r="Q32" i="3"/>
  <c r="M20" i="3"/>
  <c r="Q20" i="3"/>
  <c r="M8" i="3"/>
  <c r="Q8" i="3"/>
  <c r="H56" i="3" a="1"/>
  <c r="H56" i="3" s="1"/>
  <c r="W56" i="3" s="1" a="1"/>
  <c r="W56" i="3" s="1"/>
  <c r="T56" i="3"/>
  <c r="H44" i="3" a="1"/>
  <c r="H44" i="3" s="1"/>
  <c r="W44" i="3" s="1" a="1"/>
  <c r="W44" i="3" s="1"/>
  <c r="T44" i="3"/>
  <c r="H32" i="3" a="1"/>
  <c r="H32" i="3" s="1"/>
  <c r="W32" i="3" s="1" a="1"/>
  <c r="W32" i="3" s="1"/>
  <c r="T32" i="3"/>
  <c r="H20" i="3" a="1"/>
  <c r="H20" i="3" s="1"/>
  <c r="W20" i="3" s="1" a="1"/>
  <c r="W20" i="3" s="1"/>
  <c r="T20" i="3"/>
  <c r="H8" i="3" a="1"/>
  <c r="H8" i="3" s="1"/>
  <c r="W8" i="3" s="1" a="1"/>
  <c r="W8" i="3" s="1"/>
  <c r="T8" i="3"/>
  <c r="M35" i="3"/>
  <c r="Q35" i="3"/>
  <c r="H47" i="3" a="1"/>
  <c r="H47" i="3" s="1"/>
  <c r="W47" i="3" s="1" a="1"/>
  <c r="W47" i="3" s="1"/>
  <c r="T47" i="3"/>
  <c r="H58" i="3" a="1"/>
  <c r="H58" i="3" s="1"/>
  <c r="W58" i="3" s="1" a="1"/>
  <c r="W58" i="3" s="1"/>
  <c r="T58" i="3"/>
  <c r="M7" i="3"/>
  <c r="Q7" i="3"/>
  <c r="H43" i="3" a="1"/>
  <c r="H43" i="3" s="1"/>
  <c r="W43" i="3" s="1" a="1"/>
  <c r="W43" i="3" s="1"/>
  <c r="T43" i="3"/>
  <c r="H42" i="3" a="1"/>
  <c r="H42" i="3" s="1"/>
  <c r="W42" i="3" s="1" a="1"/>
  <c r="W42" i="3" s="1"/>
  <c r="T42" i="3"/>
  <c r="H6" i="3" a="1"/>
  <c r="H6" i="3" s="1"/>
  <c r="W6" i="3" s="1" a="1"/>
  <c r="W6" i="3" s="1"/>
  <c r="T6" i="3"/>
  <c r="M53" i="3"/>
  <c r="Q53" i="3"/>
  <c r="H53" i="3" a="1"/>
  <c r="H53" i="3" s="1"/>
  <c r="W53" i="3" s="1" a="1"/>
  <c r="W53" i="3" s="1"/>
  <c r="T53" i="3"/>
  <c r="H41" i="3" a="1"/>
  <c r="H41" i="3" s="1"/>
  <c r="W41" i="3" s="1" a="1"/>
  <c r="W41" i="3" s="1"/>
  <c r="T41" i="3"/>
  <c r="H29" i="3" a="1"/>
  <c r="H29" i="3" s="1"/>
  <c r="W29" i="3" s="1" a="1"/>
  <c r="W29" i="3" s="1"/>
  <c r="T29" i="3"/>
  <c r="H17" i="3" a="1"/>
  <c r="H17" i="3" s="1"/>
  <c r="W17" i="3" s="1" a="1"/>
  <c r="W17" i="3" s="1"/>
  <c r="T17" i="3"/>
  <c r="H5" i="3" a="1"/>
  <c r="H5" i="3" s="1"/>
  <c r="W5" i="3" s="1" a="1"/>
  <c r="W5" i="3" s="1"/>
  <c r="T5" i="3"/>
  <c r="M11" i="3"/>
  <c r="Q11" i="3"/>
  <c r="H11" i="3" a="1"/>
  <c r="H11" i="3" s="1"/>
  <c r="W11" i="3" s="1" a="1"/>
  <c r="W11" i="3" s="1"/>
  <c r="T11" i="3"/>
  <c r="H22" i="3" a="1"/>
  <c r="H22" i="3" s="1"/>
  <c r="W22" i="3" s="1" a="1"/>
  <c r="W22" i="3" s="1"/>
  <c r="T22" i="3"/>
  <c r="M19" i="3"/>
  <c r="Q19" i="3"/>
  <c r="H55" i="3" a="1"/>
  <c r="H55" i="3" s="1"/>
  <c r="W55" i="3" s="1" a="1"/>
  <c r="W55" i="3" s="1"/>
  <c r="T55" i="3"/>
  <c r="H30" i="3" a="1"/>
  <c r="H30" i="3" s="1"/>
  <c r="W30" i="3" s="1" a="1"/>
  <c r="W30" i="3" s="1"/>
  <c r="T30" i="3"/>
  <c r="M28" i="3"/>
  <c r="Q28" i="3"/>
  <c r="H16" i="3" a="1"/>
  <c r="H16" i="3" s="1"/>
  <c r="W16" i="3" s="1" a="1"/>
  <c r="W16" i="3" s="1"/>
  <c r="T16" i="3"/>
  <c r="M58" i="3"/>
  <c r="Q58" i="3"/>
  <c r="M40" i="3"/>
  <c r="Q40" i="3"/>
  <c r="H40" i="3" a="1"/>
  <c r="H40" i="3" s="1"/>
  <c r="W40" i="3" s="1" a="1"/>
  <c r="W40" i="3" s="1"/>
  <c r="T40" i="3"/>
  <c r="M39" i="3"/>
  <c r="Q39" i="3"/>
  <c r="H51" i="3" a="1"/>
  <c r="H51" i="3" s="1"/>
  <c r="W51" i="3" s="1" a="1"/>
  <c r="W51" i="3" s="1"/>
  <c r="T51" i="3"/>
  <c r="H39" i="3" a="1"/>
  <c r="H39" i="3" s="1"/>
  <c r="W39" i="3" s="1" a="1"/>
  <c r="W39" i="3" s="1"/>
  <c r="T39" i="3"/>
  <c r="H27" i="3" a="1"/>
  <c r="H27" i="3" s="1"/>
  <c r="W27" i="3" s="1" a="1"/>
  <c r="W27" i="3" s="1"/>
  <c r="T27" i="3"/>
  <c r="H15" i="3" a="1"/>
  <c r="H15" i="3" s="1"/>
  <c r="W15" i="3" s="1" a="1"/>
  <c r="W15" i="3" s="1"/>
  <c r="T15" i="3"/>
  <c r="H3" i="3" a="1"/>
  <c r="H3" i="3" s="1"/>
  <c r="W3" i="3" s="1" a="1"/>
  <c r="W3" i="3" s="1"/>
  <c r="T3" i="3"/>
  <c r="V3" i="3" s="1"/>
  <c r="M47" i="3"/>
  <c r="Q47" i="3"/>
  <c r="H59" i="3" a="1"/>
  <c r="H59" i="3" s="1"/>
  <c r="W59" i="3" s="1" a="1"/>
  <c r="W59" i="3" s="1"/>
  <c r="T59" i="3"/>
  <c r="H10" i="3" a="1"/>
  <c r="H10" i="3" s="1"/>
  <c r="W10" i="3" s="1" a="1"/>
  <c r="W10" i="3" s="1"/>
  <c r="T10" i="3"/>
  <c r="H19" i="3" a="1"/>
  <c r="H19" i="3" s="1"/>
  <c r="W19" i="3" s="1" a="1"/>
  <c r="W19" i="3" s="1"/>
  <c r="T19" i="3"/>
  <c r="M6" i="3"/>
  <c r="Q6" i="3"/>
  <c r="H54" i="3" a="1"/>
  <c r="H54" i="3" s="1"/>
  <c r="W54" i="3" s="1" a="1"/>
  <c r="W54" i="3" s="1"/>
  <c r="T54" i="3"/>
  <c r="H18" i="3" a="1"/>
  <c r="H18" i="3" s="1"/>
  <c r="W18" i="3" s="1" a="1"/>
  <c r="W18" i="3" s="1"/>
  <c r="T18" i="3"/>
  <c r="M41" i="3"/>
  <c r="Q41" i="3"/>
  <c r="H52" i="3" a="1"/>
  <c r="H52" i="3" s="1"/>
  <c r="W52" i="3" s="1" a="1"/>
  <c r="W52" i="3" s="1"/>
  <c r="T52" i="3"/>
  <c r="M51" i="3"/>
  <c r="Q51" i="3"/>
  <c r="M50" i="3"/>
  <c r="Q50" i="3"/>
  <c r="V50" i="3" s="1"/>
  <c r="H2" i="3" a="1"/>
  <c r="H2" i="3" s="1"/>
  <c r="W2" i="3" s="1" a="1"/>
  <c r="W2" i="3" s="1"/>
  <c r="T2" i="3"/>
  <c r="M59" i="3"/>
  <c r="Q59" i="3"/>
  <c r="M23" i="3"/>
  <c r="Q23" i="3"/>
  <c r="H35" i="3" a="1"/>
  <c r="H35" i="3" s="1"/>
  <c r="W35" i="3" s="1" a="1"/>
  <c r="W35" i="3" s="1"/>
  <c r="T35" i="3"/>
  <c r="M46" i="3"/>
  <c r="Q46" i="3"/>
  <c r="M22" i="3"/>
  <c r="Q22" i="3"/>
  <c r="M10" i="3"/>
  <c r="Q10" i="3"/>
  <c r="M43" i="3"/>
  <c r="Q43" i="3"/>
  <c r="M31" i="3"/>
  <c r="Q31" i="3"/>
  <c r="H31" i="3" a="1"/>
  <c r="H31" i="3" s="1"/>
  <c r="W31" i="3" s="1" a="1"/>
  <c r="W31" i="3" s="1"/>
  <c r="T31" i="3"/>
  <c r="M54" i="3"/>
  <c r="Q54" i="3"/>
  <c r="M18" i="3"/>
  <c r="Q18" i="3"/>
  <c r="M52" i="3"/>
  <c r="Q52" i="3"/>
  <c r="M4" i="3"/>
  <c r="Q4" i="3"/>
  <c r="H28" i="3" a="1"/>
  <c r="H28" i="3" s="1"/>
  <c r="W28" i="3" s="1" a="1"/>
  <c r="W28" i="3" s="1"/>
  <c r="T28" i="3"/>
  <c r="H4" i="3" a="1"/>
  <c r="H4" i="3" s="1"/>
  <c r="W4" i="3" s="1" a="1"/>
  <c r="W4" i="3" s="1"/>
  <c r="T4" i="3"/>
  <c r="M27" i="3"/>
  <c r="Q27" i="3"/>
  <c r="V27" i="3" s="1"/>
  <c r="M38" i="3"/>
  <c r="Q38" i="3"/>
  <c r="M26" i="3"/>
  <c r="Q26" i="3"/>
  <c r="M14" i="3"/>
  <c r="Q14" i="3"/>
  <c r="H50" i="3" a="1"/>
  <c r="H50" i="3" s="1"/>
  <c r="W50" i="3" s="1" a="1"/>
  <c r="W50" i="3" s="1"/>
  <c r="T50" i="3"/>
  <c r="H38" i="3" a="1"/>
  <c r="H38" i="3" s="1"/>
  <c r="W38" i="3" s="1" a="1"/>
  <c r="W38" i="3" s="1"/>
  <c r="T38" i="3"/>
  <c r="H26" i="3" a="1"/>
  <c r="H26" i="3" s="1"/>
  <c r="W26" i="3" s="1" a="1"/>
  <c r="W26" i="3" s="1"/>
  <c r="T26" i="3"/>
  <c r="H14" i="3" a="1"/>
  <c r="H14" i="3" s="1"/>
  <c r="W14" i="3" s="1" a="1"/>
  <c r="W14" i="3" s="1"/>
  <c r="T14" i="3"/>
  <c r="M61" i="3"/>
  <c r="Q61" i="3"/>
  <c r="M49" i="3"/>
  <c r="Q49" i="3"/>
  <c r="M37" i="3"/>
  <c r="Q37" i="3"/>
  <c r="M13" i="3"/>
  <c r="Q13" i="3"/>
  <c r="H61" i="3" a="1"/>
  <c r="H61" i="3" s="1"/>
  <c r="W61" i="3" s="1" a="1"/>
  <c r="W61" i="3" s="1"/>
  <c r="T61" i="3"/>
  <c r="H49" i="3" a="1"/>
  <c r="H49" i="3" s="1"/>
  <c r="W49" i="3" s="1" a="1"/>
  <c r="W49" i="3" s="1"/>
  <c r="T49" i="3"/>
  <c r="H37" i="3" a="1"/>
  <c r="H37" i="3" s="1"/>
  <c r="W37" i="3" s="1" a="1"/>
  <c r="W37" i="3" s="1"/>
  <c r="T37" i="3"/>
  <c r="H25" i="3" a="1"/>
  <c r="H25" i="3" s="1"/>
  <c r="W25" i="3" s="1" a="1"/>
  <c r="W25" i="3" s="1"/>
  <c r="T25" i="3"/>
  <c r="H13" i="3" a="1"/>
  <c r="H13" i="3" s="1"/>
  <c r="W13" i="3" s="1" a="1"/>
  <c r="W13" i="3" s="1"/>
  <c r="T13" i="3"/>
  <c r="O42" i="3"/>
  <c r="M34" i="3"/>
  <c r="Q34" i="3"/>
  <c r="H34" i="3" a="1"/>
  <c r="H34" i="3" s="1"/>
  <c r="W34" i="3" s="1" a="1"/>
  <c r="W34" i="3" s="1"/>
  <c r="T34" i="3"/>
  <c r="M55" i="3"/>
  <c r="Q55" i="3"/>
  <c r="H7" i="3" a="1"/>
  <c r="H7" i="3" s="1"/>
  <c r="W7" i="3" s="1" a="1"/>
  <c r="W7" i="3" s="1"/>
  <c r="T7" i="3"/>
  <c r="M30" i="3"/>
  <c r="Q30" i="3"/>
  <c r="M17" i="3"/>
  <c r="Q17" i="3"/>
  <c r="M16" i="3"/>
  <c r="Q16" i="3"/>
  <c r="V16" i="3" s="1"/>
  <c r="M15" i="3"/>
  <c r="Q15" i="3"/>
  <c r="M60" i="3"/>
  <c r="Q60" i="3"/>
  <c r="V60" i="3" s="1"/>
  <c r="M48" i="3"/>
  <c r="Q48" i="3"/>
  <c r="M36" i="3"/>
  <c r="Q36" i="3"/>
  <c r="M24" i="3"/>
  <c r="Q24" i="3"/>
  <c r="V24" i="3" s="1"/>
  <c r="M12" i="3"/>
  <c r="Q12" i="3"/>
  <c r="V12" i="3" s="1"/>
  <c r="H60" i="3" a="1"/>
  <c r="H60" i="3" s="1"/>
  <c r="W60" i="3" s="1" a="1"/>
  <c r="W60" i="3" s="1"/>
  <c r="T60" i="3"/>
  <c r="H48" i="3" a="1"/>
  <c r="H48" i="3" s="1"/>
  <c r="W48" i="3" s="1" a="1"/>
  <c r="W48" i="3" s="1"/>
  <c r="T48" i="3"/>
  <c r="H36" i="3" a="1"/>
  <c r="H36" i="3" s="1"/>
  <c r="W36" i="3" s="1" a="1"/>
  <c r="W36" i="3" s="1"/>
  <c r="T36" i="3"/>
  <c r="H24" i="3" a="1"/>
  <c r="H24" i="3" s="1"/>
  <c r="W24" i="3" s="1" a="1"/>
  <c r="W24" i="3" s="1"/>
  <c r="T24" i="3"/>
  <c r="H12" i="3" a="1"/>
  <c r="H12" i="3" s="1"/>
  <c r="W12" i="3" s="1" a="1"/>
  <c r="W12" i="3" s="1"/>
  <c r="T12" i="3"/>
  <c r="M25" i="3"/>
  <c r="M29" i="3"/>
  <c r="M5" i="3"/>
  <c r="M3" i="3"/>
  <c r="M2" i="3"/>
  <c r="L61" i="3"/>
  <c r="O61" i="3" s="1"/>
  <c r="L49" i="3"/>
  <c r="L37" i="3"/>
  <c r="L25" i="3"/>
  <c r="L13" i="3"/>
  <c r="L60" i="3"/>
  <c r="L48" i="3"/>
  <c r="L36" i="3"/>
  <c r="L24" i="3"/>
  <c r="L12" i="3"/>
  <c r="L59" i="3"/>
  <c r="L47" i="3"/>
  <c r="L35" i="3"/>
  <c r="O35" i="3" s="1"/>
  <c r="L23" i="3"/>
  <c r="L11" i="3"/>
  <c r="L58" i="3"/>
  <c r="L46" i="3"/>
  <c r="L34" i="3"/>
  <c r="L22" i="3"/>
  <c r="L10" i="3"/>
  <c r="L57" i="3"/>
  <c r="O57" i="3" s="1"/>
  <c r="L45" i="3"/>
  <c r="L33" i="3"/>
  <c r="L21" i="3"/>
  <c r="L9" i="3"/>
  <c r="O9" i="3" s="1"/>
  <c r="L56" i="3"/>
  <c r="L44" i="3"/>
  <c r="L32" i="3"/>
  <c r="L20" i="3"/>
  <c r="L8" i="3"/>
  <c r="L55" i="3"/>
  <c r="L43" i="3"/>
  <c r="L31" i="3"/>
  <c r="L19" i="3"/>
  <c r="L7" i="3"/>
  <c r="O7" i="3" s="1"/>
  <c r="L54" i="3"/>
  <c r="L30" i="3"/>
  <c r="O30" i="3" s="1"/>
  <c r="L18" i="3"/>
  <c r="L6" i="3"/>
  <c r="L53" i="3"/>
  <c r="L41" i="3"/>
  <c r="O41" i="3" s="1"/>
  <c r="L29" i="3"/>
  <c r="L17" i="3"/>
  <c r="L5" i="3"/>
  <c r="L52" i="3"/>
  <c r="L40" i="3"/>
  <c r="L28" i="3"/>
  <c r="L16" i="3"/>
  <c r="L4" i="3"/>
  <c r="L51" i="3"/>
  <c r="L39" i="3"/>
  <c r="O39" i="3" s="1"/>
  <c r="L27" i="3"/>
  <c r="L15" i="3"/>
  <c r="L3" i="3"/>
  <c r="L50" i="3"/>
  <c r="L38" i="3"/>
  <c r="L26" i="3"/>
  <c r="L14" i="3"/>
  <c r="L2" i="3"/>
  <c r="N42" i="3"/>
  <c r="P42" i="3" s="1"/>
  <c r="O55" i="3" l="1"/>
  <c r="V37" i="3"/>
  <c r="V25" i="3"/>
  <c r="V5" i="3"/>
  <c r="V8" i="3"/>
  <c r="V57" i="3"/>
  <c r="V15" i="3"/>
  <c r="V54" i="3"/>
  <c r="V46" i="3"/>
  <c r="V55" i="3"/>
  <c r="V40" i="3"/>
  <c r="O4" i="3"/>
  <c r="V17" i="3"/>
  <c r="V30" i="3"/>
  <c r="E3" i="4" a="1"/>
  <c r="E3" i="4" s="1"/>
  <c r="V2" i="3"/>
  <c r="V42" i="3"/>
  <c r="V18" i="3"/>
  <c r="V22" i="3"/>
  <c r="V6" i="3"/>
  <c r="V19" i="3"/>
  <c r="V29" i="3"/>
  <c r="V32" i="3"/>
  <c r="V9" i="3"/>
  <c r="V34" i="3"/>
  <c r="V13" i="3"/>
  <c r="V56" i="3"/>
  <c r="V45" i="3"/>
  <c r="V41" i="3"/>
  <c r="V38" i="3"/>
  <c r="O45" i="3"/>
  <c r="O12" i="3"/>
  <c r="V51" i="3"/>
  <c r="V58" i="3"/>
  <c r="V7" i="3"/>
  <c r="V44" i="3"/>
  <c r="V21" i="3"/>
  <c r="V31" i="3"/>
  <c r="V23" i="3"/>
  <c r="V28" i="3"/>
  <c r="V11" i="3"/>
  <c r="V53" i="3"/>
  <c r="O8" i="3"/>
  <c r="O34" i="3"/>
  <c r="O60" i="3"/>
  <c r="O20" i="3"/>
  <c r="O13" i="3"/>
  <c r="V36" i="3"/>
  <c r="N23" i="3"/>
  <c r="P23" i="3" s="1"/>
  <c r="V49" i="3"/>
  <c r="V14" i="3"/>
  <c r="V4" i="3"/>
  <c r="V43" i="3"/>
  <c r="V59" i="3"/>
  <c r="V47" i="3"/>
  <c r="V39" i="3"/>
  <c r="V35" i="3"/>
  <c r="V48" i="3"/>
  <c r="O56" i="3"/>
  <c r="O49" i="3"/>
  <c r="V61" i="3"/>
  <c r="V26" i="3"/>
  <c r="V52" i="3"/>
  <c r="V10" i="3"/>
  <c r="V20" i="3"/>
  <c r="O59" i="3"/>
  <c r="O14" i="3"/>
  <c r="N24" i="3"/>
  <c r="P24" i="3" s="1"/>
  <c r="O3" i="3"/>
  <c r="O46" i="3"/>
  <c r="O27" i="3"/>
  <c r="O32" i="3"/>
  <c r="O58" i="3"/>
  <c r="O15" i="3"/>
  <c r="O44" i="3"/>
  <c r="O18" i="3"/>
  <c r="O29" i="3"/>
  <c r="O51" i="3"/>
  <c r="N35" i="3"/>
  <c r="P35" i="3" s="1"/>
  <c r="O16" i="3"/>
  <c r="O54" i="3"/>
  <c r="O21" i="3"/>
  <c r="O47" i="3"/>
  <c r="O50" i="3"/>
  <c r="O53" i="3"/>
  <c r="O6" i="3"/>
  <c r="O11" i="3"/>
  <c r="O37" i="3"/>
  <c r="O33" i="3"/>
  <c r="O40" i="3"/>
  <c r="O19" i="3"/>
  <c r="O23" i="3"/>
  <c r="O52" i="3"/>
  <c r="O24" i="3"/>
  <c r="O26" i="3"/>
  <c r="O31" i="3"/>
  <c r="O38" i="3"/>
  <c r="O43" i="3"/>
  <c r="O10" i="3"/>
  <c r="O36" i="3"/>
  <c r="O28" i="3"/>
  <c r="O17" i="3"/>
  <c r="O22" i="3"/>
  <c r="O48" i="3"/>
  <c r="N2" i="3"/>
  <c r="P2" i="3" s="1"/>
  <c r="N20" i="3"/>
  <c r="P20" i="3" s="1"/>
  <c r="O25" i="3"/>
  <c r="N38" i="3"/>
  <c r="P38" i="3" s="1"/>
  <c r="N32" i="3"/>
  <c r="P32" i="3" s="1"/>
  <c r="N11" i="3"/>
  <c r="P11" i="3" s="1"/>
  <c r="N61" i="3"/>
  <c r="P61" i="3" s="1"/>
  <c r="N18" i="3"/>
  <c r="P18" i="3" s="1"/>
  <c r="N6" i="3"/>
  <c r="P6" i="3" s="1"/>
  <c r="N30" i="3"/>
  <c r="P30" i="3" s="1"/>
  <c r="N48" i="3"/>
  <c r="P48" i="3" s="1"/>
  <c r="N50" i="3"/>
  <c r="P50" i="3" s="1"/>
  <c r="N51" i="3"/>
  <c r="P51" i="3" s="1"/>
  <c r="N44" i="3"/>
  <c r="P44" i="3" s="1"/>
  <c r="N4" i="3"/>
  <c r="P4" i="3" s="1"/>
  <c r="N9" i="3"/>
  <c r="P9" i="3" s="1"/>
  <c r="N55" i="3"/>
  <c r="P55" i="3" s="1"/>
  <c r="N37" i="3"/>
  <c r="P37" i="3" s="1"/>
  <c r="N39" i="3"/>
  <c r="P39" i="3" s="1"/>
  <c r="N49" i="3"/>
  <c r="P49" i="3" s="1"/>
  <c r="N56" i="3"/>
  <c r="P56" i="3" s="1"/>
  <c r="O2" i="3"/>
  <c r="N16" i="3"/>
  <c r="P16" i="3" s="1"/>
  <c r="N28" i="3"/>
  <c r="P28" i="3" s="1"/>
  <c r="N22" i="3"/>
  <c r="P22" i="3" s="1"/>
  <c r="N17" i="3"/>
  <c r="P17" i="3" s="1"/>
  <c r="N58" i="3"/>
  <c r="P58" i="3" s="1"/>
  <c r="O5" i="3"/>
  <c r="N31" i="3"/>
  <c r="P31" i="3" s="1"/>
  <c r="N52" i="3"/>
  <c r="P52" i="3" s="1"/>
  <c r="N26" i="3"/>
  <c r="P26" i="3" s="1"/>
  <c r="N25" i="3"/>
  <c r="P25" i="3" s="1"/>
  <c r="N29" i="3"/>
  <c r="P29" i="3" s="1"/>
  <c r="N14" i="3"/>
  <c r="P14" i="3" s="1"/>
  <c r="N41" i="3"/>
  <c r="P41" i="3" s="1"/>
  <c r="N3" i="3"/>
  <c r="P3" i="3" s="1"/>
  <c r="N53" i="3"/>
  <c r="P53" i="3" s="1"/>
  <c r="N57" i="3"/>
  <c r="P57" i="3" s="1"/>
  <c r="N13" i="3"/>
  <c r="P13" i="3" s="1"/>
  <c r="N15" i="3"/>
  <c r="P15" i="3" s="1"/>
  <c r="N27" i="3"/>
  <c r="P27" i="3" s="1"/>
  <c r="N46" i="3"/>
  <c r="P46" i="3" s="1"/>
  <c r="N19" i="3"/>
  <c r="P19" i="3" s="1"/>
  <c r="N45" i="3"/>
  <c r="P45" i="3" s="1"/>
  <c r="N12" i="3"/>
  <c r="P12" i="3" s="1"/>
  <c r="N43" i="3"/>
  <c r="P43" i="3" s="1"/>
  <c r="N10" i="3"/>
  <c r="P10" i="3" s="1"/>
  <c r="N36" i="3"/>
  <c r="P36" i="3" s="1"/>
  <c r="N59" i="3"/>
  <c r="P59" i="3" s="1"/>
  <c r="N40" i="3"/>
  <c r="P40" i="3" s="1"/>
  <c r="N7" i="3"/>
  <c r="P7" i="3" s="1"/>
  <c r="N8" i="3"/>
  <c r="P8" i="3" s="1"/>
  <c r="N34" i="3"/>
  <c r="P34" i="3" s="1"/>
  <c r="N60" i="3"/>
  <c r="P60" i="3" s="1"/>
  <c r="N47" i="3"/>
  <c r="P47" i="3" s="1"/>
  <c r="N33" i="3"/>
  <c r="P33" i="3" s="1"/>
  <c r="N54" i="3"/>
  <c r="P54" i="3" s="1"/>
  <c r="N21" i="3"/>
  <c r="P21" i="3" s="1"/>
  <c r="N5" i="3"/>
  <c r="P5" i="3" s="1"/>
  <c r="A3" i="4" l="1" a="1"/>
  <c r="A3" i="4" s="1"/>
  <c r="P3" i="4" a="1"/>
  <c r="P3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D94148-B701-4B95-940D-DA8676FDBDB9}" keepAlive="1" name="Query - ApiKey" description="Connection to the 'ApiKey' query in the workbook." type="5" refreshedVersion="0" background="1">
    <dbPr connection="Provider=Microsoft.Mashup.OleDb.1;Data Source=$Workbook$;Location=ApiKey;Extended Properties=&quot;&quot;" command="SELECT * FROM [ApiKey]"/>
  </connection>
  <connection id="2" xr16:uid="{4475B288-6608-4951-90A7-91131FB53473}" keepAlive="1" name="Query - fnGetTickerData" description="Connection to the 'fnGetTickerData' query in the workbook." type="5" refreshedVersion="8" background="1" saveData="1">
    <dbPr connection="Provider=Microsoft.Mashup.OleDb.1;Data Source=$Workbook$;Location=fnGetTickerData;Extended Properties=&quot;&quot;" command="SELECT * FROM [fnGetTickerData]"/>
  </connection>
  <connection id="3" xr16:uid="{047D833E-31F5-4067-887A-65F4AD4FA049}" keepAlive="1" name="Query - fnGetUW" description="Connection to the 'fnGetUW' query in the workbook." type="5" refreshedVersion="0" background="1">
    <dbPr connection="Provider=Microsoft.Mashup.OleDb.1;Data Source=$Workbook$;Location=fnGetUW;Extended Properties=&quot;&quot;" command="SELECT * FROM [fnGetUW]"/>
  </connection>
  <connection id="4" xr16:uid="{0E8413EB-3C96-47B8-BA4D-5B389B1F113D}" keepAlive="1" name="Query - RawData_Query" description="Connection to the 'RawData_Query' query in the workbook." type="5" refreshedVersion="8" background="1" saveData="1">
    <dbPr connection="Provider=Microsoft.Mashup.OleDb.1;Data Source=$Workbook$;Location=RawData_Query;Extended Properties=&quot;&quot;" command="SELECT * FROM [RawData_Quer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<sst xmlns="http://schemas.openxmlformats.org/spreadsheetml/2006/main" count="184" uniqueCount="111">
  <si>
    <t>IWM</t>
  </si>
  <si>
    <t>SPY</t>
  </si>
  <si>
    <t>QQQ</t>
  </si>
  <si>
    <t>NFLX</t>
  </si>
  <si>
    <t>AMZN</t>
  </si>
  <si>
    <t>AAPL</t>
  </si>
  <si>
    <t>TSLA</t>
  </si>
  <si>
    <t>META</t>
  </si>
  <si>
    <t>PLTR</t>
  </si>
  <si>
    <t>GOOG</t>
  </si>
  <si>
    <t>MSFT</t>
  </si>
  <si>
    <t>NVDA</t>
  </si>
  <si>
    <t>FCX</t>
  </si>
  <si>
    <t>CCJ</t>
  </si>
  <si>
    <t>NEM</t>
  </si>
  <si>
    <t>VALE</t>
  </si>
  <si>
    <t>IBM</t>
  </si>
  <si>
    <t>CRWV</t>
  </si>
  <si>
    <t>CSCO</t>
  </si>
  <si>
    <t>PANW</t>
  </si>
  <si>
    <t>ORCL</t>
  </si>
  <si>
    <t>NET</t>
  </si>
  <si>
    <t>CRWD</t>
  </si>
  <si>
    <t>CRM</t>
  </si>
  <si>
    <t>NOW</t>
  </si>
  <si>
    <t>ADBE</t>
  </si>
  <si>
    <t>AAOI</t>
  </si>
  <si>
    <t>QCOM</t>
  </si>
  <si>
    <t>MU</t>
  </si>
  <si>
    <t>TSM</t>
  </si>
  <si>
    <t>AMAT</t>
  </si>
  <si>
    <t>AMD</t>
  </si>
  <si>
    <t>INTC</t>
  </si>
  <si>
    <t>SMCI</t>
  </si>
  <si>
    <t>AVGO</t>
  </si>
  <si>
    <t>APLD</t>
  </si>
  <si>
    <t>BE</t>
  </si>
  <si>
    <t>XLE</t>
  </si>
  <si>
    <t>RKLB</t>
  </si>
  <si>
    <t>RIOT</t>
  </si>
  <si>
    <t>COIN</t>
  </si>
  <si>
    <t>MSTR</t>
  </si>
  <si>
    <t>SNOW</t>
  </si>
  <si>
    <t>LLY</t>
  </si>
  <si>
    <t>JNJ</t>
  </si>
  <si>
    <t>UNH</t>
  </si>
  <si>
    <t>TGT</t>
  </si>
  <si>
    <t>HD</t>
  </si>
  <si>
    <t>COST</t>
  </si>
  <si>
    <t>WMT</t>
  </si>
  <si>
    <t>MS</t>
  </si>
  <si>
    <t>GS</t>
  </si>
  <si>
    <t>JPM</t>
  </si>
  <si>
    <t>BAC</t>
  </si>
  <si>
    <t>SCHW</t>
  </si>
  <si>
    <t>SOFI</t>
  </si>
  <si>
    <t>WFC</t>
  </si>
  <si>
    <t>RIVN</t>
  </si>
  <si>
    <t>XLF</t>
  </si>
  <si>
    <t>XLK</t>
  </si>
  <si>
    <t>Ticker</t>
  </si>
  <si>
    <t>Tier</t>
  </si>
  <si>
    <t>TierWeight</t>
  </si>
  <si>
    <t>GammaRegime</t>
  </si>
  <si>
    <t>DeltaLean</t>
  </si>
  <si>
    <t>VannaBias</t>
  </si>
  <si>
    <t>CharmBias</t>
  </si>
  <si>
    <t>CallWallFlag</t>
  </si>
  <si>
    <t>PutWallFlag</t>
  </si>
  <si>
    <t>FlipFlag</t>
  </si>
  <si>
    <t>BullScore</t>
  </si>
  <si>
    <t>BearScore</t>
  </si>
  <si>
    <t>TradeBias</t>
  </si>
  <si>
    <t>Conviction</t>
  </si>
  <si>
    <t>Notes</t>
  </si>
  <si>
    <t>Date</t>
  </si>
  <si>
    <t>Price</t>
  </si>
  <si>
    <t>CallWallStrike</t>
  </si>
  <si>
    <t>PutWallStrike</t>
  </si>
  <si>
    <t>FlipStrike</t>
  </si>
  <si>
    <t>NetGamma</t>
  </si>
  <si>
    <t>NetVanna</t>
  </si>
  <si>
    <t>NetCharm</t>
  </si>
  <si>
    <t>NetDelta</t>
  </si>
  <si>
    <t>Iv</t>
  </si>
  <si>
    <t>IvLow</t>
  </si>
  <si>
    <t>IvHigh</t>
  </si>
  <si>
    <t>IvRank</t>
  </si>
  <si>
    <t>Rv</t>
  </si>
  <si>
    <t>RvLow</t>
  </si>
  <si>
    <t>RvHigh</t>
  </si>
  <si>
    <t>CallVolume</t>
  </si>
  <si>
    <t>PutVolume</t>
  </si>
  <si>
    <t>CallOiTotal</t>
  </si>
  <si>
    <t>PutOiTotal</t>
  </si>
  <si>
    <t>DominantExpiry</t>
  </si>
  <si>
    <t>DominantExpiryOi</t>
  </si>
  <si>
    <t>DominantExpiryVolume</t>
  </si>
  <si>
    <t>GammaScore</t>
  </si>
  <si>
    <t>DeltaScore</t>
  </si>
  <si>
    <t>VannaScore</t>
  </si>
  <si>
    <t>CharmScore</t>
  </si>
  <si>
    <t>WallFlipScore</t>
  </si>
  <si>
    <t>DPI</t>
  </si>
  <si>
    <t>VannaCharmComposite</t>
  </si>
  <si>
    <t>Setup</t>
  </si>
  <si>
    <t>Drift</t>
  </si>
  <si>
    <t>Top Dealer Pressure</t>
  </si>
  <si>
    <t>Strong Drift</t>
  </si>
  <si>
    <t>Breakout Candidates</t>
  </si>
  <si>
    <t>Top Setups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</si>
</sst>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4" fontId="0" fillId="0" borderId="0" xfId="0" applyNumberFormat="1"/>
    <xf numFmtId="44" fontId="0" fillId="0" borderId="0" xfId="1" applyFont="1"/>
    <xf numFmtId="0" fontId="0" fillId="0" borderId="0" xfId="0" applyNumberFormat="1"/>
    <xf numFmtId="0" fontId="0" fillId="0" borderId="0" xfId="0" quotePrefix="1" applyAlignment="1">
      <alignment wrapText="1"/>
    </xf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5038502D-B6A8-4F49-B72B-1C9692F9E20F}" autoFormatId="16" applyNumberFormats="0" applyBorderFormats="0" applyFontFormats="0" applyPatternFormats="0" applyAlignmentFormats="0" applyWidthHeightFormats="0">
  <queryTableRefresh nextId="26">
    <queryTableFields count="25">
      <queryTableField id="1" name="Ticker" tableColumnId="1"/>
      <queryTableField id="2" name="Tier" tableColumnId="2"/>
      <queryTableField id="3" name="Date" tableColumnId="3"/>
      <queryTableField id="4" name="Price" tableColumnId="4"/>
      <queryTableField id="5" name="CallWallStrike" tableColumnId="5"/>
      <queryTableField id="6" name="PutWallStrike" tableColumnId="6"/>
      <queryTableField id="7" name="FlipStrike" tableColumnId="7"/>
      <queryTableField id="8" name="NetGamma" tableColumnId="8"/>
      <queryTableField id="9" name="NetVanna" tableColumnId="9"/>
      <queryTableField id="10" name="NetCharm" tableColumnId="10"/>
      <queryTableField id="11" name="NetDelta" tableColumnId="11"/>
      <queryTableField id="12" name="Iv" tableColumnId="12"/>
      <queryTableField id="13" name="IvLow" tableColumnId="13"/>
      <queryTableField id="14" name="IvHigh" tableColumnId="14"/>
      <queryTableField id="15" name="IvRank" tableColumnId="15"/>
      <queryTableField id="16" name="Rv" tableColumnId="16"/>
      <queryTableField id="17" name="RvLow" tableColumnId="17"/>
      <queryTableField id="18" name="RvHigh" tableColumnId="18"/>
      <queryTableField id="19" name="CallVolume" tableColumnId="19"/>
      <queryTableField id="20" name="PutVolume" tableColumnId="20"/>
      <queryTableField id="21" name="CallOiTotal" tableColumnId="21"/>
      <queryTableField id="22" name="PutOiTotal" tableColumnId="22"/>
      <queryTableField id="23" name="DominantExpiry" tableColumnId="23"/>
      <queryTableField id="24" name="DominantExpiryOi" tableColumnId="24"/>
      <queryTableField id="25" name="DominantExpiryVolume" tableColumnId="2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E5E3C4-1AD0-4A4D-9C8B-F5057738BD6F}" name="Universe" displayName="Universe" ref="A1:B61" totalsRowShown="0">
  <autoFilter ref="A1:B61" xr:uid="{EBE5E3C4-1AD0-4A4D-9C8B-F5057738BD6F}"/>
  <tableColumns count="2">
    <tableColumn id="1" xr3:uid="{CB154754-4782-4A74-9812-EE62F9C0ACF7}" name="Ticker"/>
    <tableColumn id="2" xr3:uid="{24B03CEE-ECF0-446F-B311-5636D3D5CBF8}" name="Ti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6DC56F-02F6-411F-9982-02D45C14F56F}" name="RawData_Query" displayName="RawData_Query" ref="A1:Y61" tableType="queryTable" totalsRowShown="0" headerRowDxfId="28">
  <autoFilter ref="A1:Y61" xr:uid="{236DC56F-02F6-411F-9982-02D45C14F56F}"/>
  <tableColumns count="25">
    <tableColumn id="1" xr3:uid="{50DD649C-CD7B-43CA-B156-1A9D9E73CFAD}" uniqueName="1" name="Ticker" queryTableFieldId="1"/>
    <tableColumn id="2" xr3:uid="{3560682A-9157-4A30-B197-162C1066B7AC}" uniqueName="2" name="Tier" queryTableFieldId="2"/>
    <tableColumn id="3" xr3:uid="{96EA420E-28CC-43C3-A165-A84A0AB498EF}" uniqueName="3" name="Date" queryTableFieldId="3" dataDxfId="8"/>
    <tableColumn id="4" xr3:uid="{136287C7-5B1E-4F53-AE30-DFCE550064E7}" uniqueName="4" name="Price" queryTableFieldId="4" dataDxfId="7" dataCellStyle="Currency"/>
    <tableColumn id="5" xr3:uid="{1BDAAD5D-A1D2-4F3C-8EF8-F3D8604DB6F1}" uniqueName="5" name="CallWallStrike" queryTableFieldId="5" dataDxfId="6" dataCellStyle="Currency"/>
    <tableColumn id="6" xr3:uid="{57C897AD-F0D1-4F49-96D2-AB014B057209}" uniqueName="6" name="PutWallStrike" queryTableFieldId="6" dataDxfId="5" dataCellStyle="Currency"/>
    <tableColumn id="7" xr3:uid="{9BAC3E50-3D67-43D0-BB00-4309C6FEF6A0}" uniqueName="7" name="FlipStrike" queryTableFieldId="7" dataDxfId="4" dataCellStyle="Currency"/>
    <tableColumn id="8" xr3:uid="{6CC5BD64-659D-405F-AF7F-B82EB5981560}" uniqueName="8" name="NetGamma" queryTableFieldId="8" dataDxfId="3" dataCellStyle="Currency"/>
    <tableColumn id="9" xr3:uid="{15EFD5A1-F81C-4D7F-B789-7F7EF116185D}" uniqueName="9" name="NetVanna" queryTableFieldId="9" dataDxfId="2" dataCellStyle="Currency"/>
    <tableColumn id="10" xr3:uid="{BB41231A-EC70-41FE-B4E6-9D2E1951A121}" uniqueName="10" name="NetCharm" queryTableFieldId="10" dataDxfId="1" dataCellStyle="Currency"/>
    <tableColumn id="11" xr3:uid="{A19443C9-5274-4D25-8E3A-550136D512EA}" uniqueName="11" name="NetDelta" queryTableFieldId="11" dataDxfId="0" dataCellStyle="Currency"/>
    <tableColumn id="12" xr3:uid="{F2E4950B-80BD-415F-8762-DD24F896A5A2}" uniqueName="12" name="Iv" queryTableFieldId="12"/>
    <tableColumn id="13" xr3:uid="{9DF279FB-98F1-4447-86A2-3E2AE1E08CFA}" uniqueName="13" name="IvLow" queryTableFieldId="13"/>
    <tableColumn id="14" xr3:uid="{807ECA46-5E1D-4914-84A0-043BB9B14D6D}" uniqueName="14" name="IvHigh" queryTableFieldId="14"/>
    <tableColumn id="15" xr3:uid="{83BD8E1C-C41F-45D4-9A3D-D627EB14023C}" uniqueName="15" name="IvRank" queryTableFieldId="15"/>
    <tableColumn id="16" xr3:uid="{B2EBD53A-DD49-4D71-A710-84C743DC0BDA}" uniqueName="16" name="Rv" queryTableFieldId="16"/>
    <tableColumn id="17" xr3:uid="{54A99FAF-4F2E-4FB6-8489-ED870FB244B5}" uniqueName="17" name="RvLow" queryTableFieldId="17"/>
    <tableColumn id="18" xr3:uid="{CD6B529B-988B-405E-8E0F-063D178F6C79}" uniqueName="18" name="RvHigh" queryTableFieldId="18"/>
    <tableColumn id="19" xr3:uid="{0A2059C9-CADA-4BA8-B9AB-00C621EDE8C0}" uniqueName="19" name="CallVolume" queryTableFieldId="19"/>
    <tableColumn id="20" xr3:uid="{B9514C92-7639-4F14-B02D-6E1A8B2C530F}" uniqueName="20" name="PutVolume" queryTableFieldId="20"/>
    <tableColumn id="21" xr3:uid="{827E346C-7C52-42CA-A0B1-B2B113FEE6B6}" uniqueName="21" name="CallOiTotal" queryTableFieldId="21"/>
    <tableColumn id="22" xr3:uid="{132D328E-A972-499C-80F0-10969777E3BC}" uniqueName="22" name="PutOiTotal" queryTableFieldId="22"/>
    <tableColumn id="23" xr3:uid="{93A56187-1F56-47B8-AF8A-DCAADD5D0D77}" uniqueName="23" name="DominantExpiry" queryTableFieldId="23"/>
    <tableColumn id="24" xr3:uid="{178E0158-F471-4708-A707-FED68CF32B07}" uniqueName="24" name="DominantExpiryOi" queryTableFieldId="24"/>
    <tableColumn id="25" xr3:uid="{281F7880-4CD3-48B6-B771-1F00D284F138}" uniqueName="25" name="DominantExpiryVolume" queryTableFieldId="2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690FAA-768D-47EB-98D0-B5FAC026D802}" name="LogicEngineClean" displayName="LogicEngineClean" ref="A1:W61" totalsRowShown="0">
  <autoFilter ref="A1:W61" xr:uid="{47690FAA-768D-47EB-98D0-B5FAC026D802}"/>
  <tableColumns count="23">
    <tableColumn id="1" xr3:uid="{ABEBD44D-E088-4AE4-B74A-B1D97918A87E}" name="Ticker" dataDxfId="27">
      <calculatedColumnFormula>RawData_Query[[#This Row],[Ticker]]</calculatedColumnFormula>
    </tableColumn>
    <tableColumn id="2" xr3:uid="{69C62BBA-D62B-4AD0-977C-66789D861C90}" name="Tier" dataDxfId="26">
      <calculatedColumnFormula>RawData_Query[[#This Row],[Tier]]</calculatedColumnFormula>
    </tableColumn>
    <tableColumn id="3" xr3:uid="{0711D527-45E7-485F-BC49-984FBCCB8B89}" name="TierWeight"/>
    <tableColumn id="4" xr3:uid="{A26AE026-9037-43A4-8069-A08BAF47C208}" name="GammaRegime">
      <calculatedColumnFormula>IF(RawData_Query[[#This Row],[NetGamma]]&gt;0,"Long Gamma","Short Gamma")</calculatedColumnFormula>
    </tableColumn>
    <tableColumn id="5" xr3:uid="{96D3B390-C0F1-4434-8FB2-B86C202502A5}" name="DeltaLean">
      <calculatedColumnFormula>IF(RawData_Query[[#This Row],[NetDelta]]&gt;0,"Dealers Long","Dealers Short")</calculatedColumnFormula>
    </tableColumn>
    <tableColumn id="6" xr3:uid="{B78E59E2-721E-47DA-A3F1-145B21AE037A}" name="VannaBias" dataDxfId="17">
      <calculatedColumnFormula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calculatedColumnFormula>
    </tableColumn>
    <tableColumn id="7" xr3:uid="{AEB8D844-8F6A-4B35-B6FB-646699F4858F}" name="CharmBias" dataDxfId="25">
      <calculatedColumnFormula>IF(RawData_Query[[#This Row],[NetCharm]]&lt;0,"Sell Into Close","Buy Into Close")</calculatedColumnFormula>
    </tableColumn>
    <tableColumn id="16" xr3:uid="{FF57F380-812E-4E70-99FB-FDFF79B3F2F4}" name="VannaCharmComposite" dataDxfId="16">
      <calculatedColumnFormula array="1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calculatedColumnFormula>
    </tableColumn>
    <tableColumn id="8" xr3:uid="{E0AA0BA5-B8C4-4A24-A8FB-3E8757892FA0}" name="CallWallFlag" dataDxfId="24">
      <calculatedColumnFormula>IF(
    RawData_Query[[#This Row],[CallWallStrike]]="",
    FALSE,
    ABS(RawData_Query[[#This Row],[CallWallStrike]] - RawData_Query[[#This Row],[Price]]) / RawData_Query[[#This Row],[Price]] &lt; 0.02
)</calculatedColumnFormula>
    </tableColumn>
    <tableColumn id="9" xr3:uid="{8AC0B112-CF33-45E0-8AFC-7DA9DBD34864}" name="PutWallFlag" dataDxfId="23">
      <calculatedColumnFormula>IF(
    RawData_Query[[#This Row],[PutWallStrike]]="",
    FALSE,
    ABS(RawData_Query[[#This Row],[PutWallStrike]] - RawData_Query[[#This Row],[Price]]) / RawData_Query[[#This Row],[Price]] &lt; 0.02
)</calculatedColumnFormula>
    </tableColumn>
    <tableColumn id="10" xr3:uid="{33C04C60-985A-4B85-9E81-9202788EB05F}" name="FlipFlag" dataDxfId="22">
      <calculatedColumnFormula>IF(RawData_Query[[#This Row],[FlipStrike]]="","",
   IF(RawData_Query[[#This Row],[FlipStrike]] &gt; RawData_Query[[#This Row],[Price]],"Below Flip","Above Flip")
)</calculatedColumnFormula>
    </tableColumn>
    <tableColumn id="11" xr3:uid="{A6F44C19-E5D8-401C-ADDA-4B6EC9F8BF75}" name="BullScore" dataDxfId="21">
      <calculatedColumnFormula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calculatedColumnFormula>
    </tableColumn>
    <tableColumn id="12" xr3:uid="{A2D2AC8A-1937-4626-B595-3A11E735DB8B}" name="BearScore" dataDxfId="20">
      <calculatedColumnFormula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calculatedColumnFormula>
    </tableColumn>
    <tableColumn id="13" xr3:uid="{982D8E62-B1E9-4A84-9376-96DDF3BF7F9B}" name="TradeBias" dataDxfId="19">
      <calculatedColumnFormula>IF(LogicEngineClean[[#This Row],[BullScore]]&gt;LogicEngineClean[[#This Row],[BearScore]],"Call",
   IF(LogicEngineClean[[#This Row],[BearScore]]&gt;LogicEngineClean[[#This Row],[BullScore]],"Put","Avoid")
)</calculatedColumnFormula>
    </tableColumn>
    <tableColumn id="14" xr3:uid="{5932A3BB-1586-40B3-AA60-3A377FF545CC}" name="Conviction" dataDxfId="18">
      <calculatedColumnFormula>MAX(LogicEngineClean[[#This Row],[BullScore]],LogicEngineClean[[#This Row],[BearScore]])</calculatedColumnFormula>
    </tableColumn>
    <tableColumn id="15" xr3:uid="{9D290970-6F46-4B06-8911-F2E18DE18FAC}" name="Notes" dataDxfId="15">
      <calculatedColumnFormula>"Bias: " &amp; LogicEngineClean[[#This Row],[TradeBias]] &amp;
" | Regime: " &amp; LogicEngineClean[[#This Row],[GammaRegime]] &amp;
" | Delta: " &amp; LogicEngineClean[[#This Row],[DeltaLean]]</calculatedColumnFormula>
    </tableColumn>
    <tableColumn id="22" xr3:uid="{99841FDC-55B6-4AA8-B753-4F75FAF650D5}" name="GammaScore" dataDxfId="14">
      <calculatedColumnFormula>IF(LogicEngineClean[[#This Row],[GammaRegime]]="Short Gamma",20,0)</calculatedColumnFormula>
    </tableColumn>
    <tableColumn id="21" xr3:uid="{63936A7C-73EE-475F-B8D9-BC7B192AF1C4}" name="DeltaScore" dataDxfId="13">
      <calculatedColumnFormula>IF(LogicEngineClean[[#This Row],[DeltaLean]]="Dealers Long",20,0)</calculatedColumnFormula>
    </tableColumn>
    <tableColumn id="20" xr3:uid="{396FE09E-E46A-47D4-8A05-B0121AAD42B9}" name="VannaScore">
      <calculatedColumnFormula>IF(LogicEngineClean[[#This Row],[VannaBias]]="Upside Drift",20,
IF(LogicEngineClean[[#This Row],[VannaBias]]="Downside Drift",20,10))</calculatedColumnFormula>
    </tableColumn>
    <tableColumn id="19" xr3:uid="{1EE537A1-C268-4252-8998-A076BA35E37E}" name="CharmScore" dataDxfId="12">
      <calculatedColumnFormula>IF(LogicEngineClean[[#This Row],[CharmBias]]="Sell Into Close",20,0)</calculatedColumnFormula>
    </tableColumn>
    <tableColumn id="24" xr3:uid="{B65FFE18-0A0C-44DD-AB01-2DA22CDEA7F3}" name="WallFlipScore" dataDxfId="10">
      <calculatedColumnFormula>IFERROR(IF(OR(LogicEngineClean[[#This Row],[CallWallFlag]]=TRUE,LogicEngineClean[[#This Row],[PutWallFlag]]=TRUE),10,0)
+
IF(LogicEngineClean[[#This Row],[FlipFlag]]="Below Flip",10,0),"")</calculatedColumnFormula>
    </tableColumn>
    <tableColumn id="23" xr3:uid="{292B980B-45B4-4FAF-9ADC-94D7F5096B56}" name="DPI" dataDxfId="11">
      <calculatedColumnFormula>IFERROR(LogicEngineClean[[#This Row],[GammaScore]] + LogicEngineClean[[#This Row],[DeltaScore]] + LogicEngineClean[[#This Row],[VannaScore]] + LogicEngineClean[[#This Row],[CharmScore]] + LogicEngineClean[[#This Row],[WallFlipScore]],"")</calculatedColumnFormula>
    </tableColumn>
    <tableColumn id="25" xr3:uid="{69C36B26-03C9-4FC1-A285-CE2EF6B900E0}" name="Setup" dataDxfId="9">
      <calculatedColumnFormula array="1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F047-5926-4CE0-A18F-14E61192ED18}">
  <dimension ref="A1:B61"/>
  <sheetViews>
    <sheetView workbookViewId="0">
      <selection activeCell="K22" sqref="K22"/>
    </sheetView>
  </sheetViews>
  <sheetFormatPr defaultRowHeight="15" x14ac:dyDescent="0.25"/>
  <sheetData>
    <row r="1" spans="1:2" x14ac:dyDescent="0.25">
      <c r="A1" t="s">
        <v>60</v>
      </c>
      <c r="B1" t="s">
        <v>61</v>
      </c>
    </row>
    <row r="2" spans="1:2" x14ac:dyDescent="0.25">
      <c r="A2" t="s">
        <v>0</v>
      </c>
      <c r="B2">
        <v>1</v>
      </c>
    </row>
    <row r="3" spans="1:2" x14ac:dyDescent="0.25">
      <c r="A3" t="s">
        <v>1</v>
      </c>
      <c r="B3">
        <v>1</v>
      </c>
    </row>
    <row r="4" spans="1:2" x14ac:dyDescent="0.25">
      <c r="A4" t="s">
        <v>2</v>
      </c>
      <c r="B4">
        <v>1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5</v>
      </c>
      <c r="B7">
        <v>1</v>
      </c>
    </row>
    <row r="8" spans="1:2" x14ac:dyDescent="0.25">
      <c r="A8" t="s">
        <v>6</v>
      </c>
      <c r="B8">
        <v>1</v>
      </c>
    </row>
    <row r="9" spans="1:2" x14ac:dyDescent="0.25">
      <c r="A9" t="s">
        <v>7</v>
      </c>
      <c r="B9">
        <v>1</v>
      </c>
    </row>
    <row r="10" spans="1:2" x14ac:dyDescent="0.25">
      <c r="A10" t="s">
        <v>8</v>
      </c>
      <c r="B10">
        <v>2</v>
      </c>
    </row>
    <row r="11" spans="1:2" x14ac:dyDescent="0.25">
      <c r="A11" t="s">
        <v>9</v>
      </c>
      <c r="B11">
        <v>1</v>
      </c>
    </row>
    <row r="12" spans="1:2" x14ac:dyDescent="0.25">
      <c r="A12" t="s">
        <v>10</v>
      </c>
      <c r="B12">
        <v>1</v>
      </c>
    </row>
    <row r="13" spans="1:2" x14ac:dyDescent="0.25">
      <c r="A13" t="s">
        <v>11</v>
      </c>
      <c r="B13">
        <v>1</v>
      </c>
    </row>
    <row r="14" spans="1:2" x14ac:dyDescent="0.25">
      <c r="A14" t="s">
        <v>12</v>
      </c>
      <c r="B14">
        <v>2</v>
      </c>
    </row>
    <row r="15" spans="1:2" x14ac:dyDescent="0.25">
      <c r="A15" t="s">
        <v>13</v>
      </c>
      <c r="B15">
        <v>2</v>
      </c>
    </row>
    <row r="16" spans="1:2" x14ac:dyDescent="0.25">
      <c r="A16" t="s">
        <v>14</v>
      </c>
      <c r="B16">
        <v>2</v>
      </c>
    </row>
    <row r="17" spans="1:2" x14ac:dyDescent="0.25">
      <c r="A17" t="s">
        <v>15</v>
      </c>
      <c r="B17">
        <v>2</v>
      </c>
    </row>
    <row r="18" spans="1:2" x14ac:dyDescent="0.25">
      <c r="A18" t="s">
        <v>16</v>
      </c>
      <c r="B18">
        <v>1</v>
      </c>
    </row>
    <row r="19" spans="1:2" x14ac:dyDescent="0.25">
      <c r="A19" t="s">
        <v>17</v>
      </c>
      <c r="B19">
        <v>3</v>
      </c>
    </row>
    <row r="20" spans="1:2" x14ac:dyDescent="0.25">
      <c r="A20" t="s">
        <v>18</v>
      </c>
      <c r="B20">
        <v>1</v>
      </c>
    </row>
    <row r="21" spans="1:2" x14ac:dyDescent="0.25">
      <c r="A21" t="s">
        <v>19</v>
      </c>
      <c r="B21">
        <v>1</v>
      </c>
    </row>
    <row r="22" spans="1:2" x14ac:dyDescent="0.25">
      <c r="A22" t="s">
        <v>20</v>
      </c>
      <c r="B22">
        <v>1</v>
      </c>
    </row>
    <row r="23" spans="1:2" x14ac:dyDescent="0.25">
      <c r="A23" t="s">
        <v>21</v>
      </c>
      <c r="B23">
        <v>1</v>
      </c>
    </row>
    <row r="24" spans="1:2" x14ac:dyDescent="0.25">
      <c r="A24" t="s">
        <v>22</v>
      </c>
      <c r="B24">
        <v>1</v>
      </c>
    </row>
    <row r="25" spans="1:2" x14ac:dyDescent="0.25">
      <c r="A25" t="s">
        <v>23</v>
      </c>
      <c r="B25">
        <v>1</v>
      </c>
    </row>
    <row r="26" spans="1:2" x14ac:dyDescent="0.25">
      <c r="A26" t="s">
        <v>24</v>
      </c>
      <c r="B26">
        <v>1</v>
      </c>
    </row>
    <row r="27" spans="1:2" x14ac:dyDescent="0.25">
      <c r="A27" t="s">
        <v>25</v>
      </c>
      <c r="B27">
        <v>1</v>
      </c>
    </row>
    <row r="28" spans="1:2" x14ac:dyDescent="0.25">
      <c r="A28" t="s">
        <v>26</v>
      </c>
      <c r="B28">
        <v>3</v>
      </c>
    </row>
    <row r="29" spans="1:2" x14ac:dyDescent="0.25">
      <c r="A29" t="s">
        <v>27</v>
      </c>
      <c r="B29">
        <v>1</v>
      </c>
    </row>
    <row r="30" spans="1:2" x14ac:dyDescent="0.25">
      <c r="A30" t="s">
        <v>28</v>
      </c>
      <c r="B30">
        <v>1</v>
      </c>
    </row>
    <row r="31" spans="1:2" x14ac:dyDescent="0.25">
      <c r="A31" t="s">
        <v>29</v>
      </c>
      <c r="B31">
        <v>1</v>
      </c>
    </row>
    <row r="32" spans="1:2" x14ac:dyDescent="0.25">
      <c r="A32" t="s">
        <v>30</v>
      </c>
      <c r="B32">
        <v>2</v>
      </c>
    </row>
    <row r="33" spans="1:2" x14ac:dyDescent="0.25">
      <c r="A33" t="s">
        <v>31</v>
      </c>
      <c r="B33">
        <v>1</v>
      </c>
    </row>
    <row r="34" spans="1:2" x14ac:dyDescent="0.25">
      <c r="A34" t="s">
        <v>32</v>
      </c>
      <c r="B34">
        <v>2</v>
      </c>
    </row>
    <row r="35" spans="1:2" x14ac:dyDescent="0.25">
      <c r="A35" t="s">
        <v>33</v>
      </c>
      <c r="B35">
        <v>2</v>
      </c>
    </row>
    <row r="36" spans="1:2" x14ac:dyDescent="0.25">
      <c r="A36" t="s">
        <v>34</v>
      </c>
      <c r="B36">
        <v>1</v>
      </c>
    </row>
    <row r="37" spans="1:2" x14ac:dyDescent="0.25">
      <c r="A37" t="s">
        <v>35</v>
      </c>
      <c r="B37">
        <v>3</v>
      </c>
    </row>
    <row r="38" spans="1:2" x14ac:dyDescent="0.25">
      <c r="A38" t="s">
        <v>36</v>
      </c>
      <c r="B38">
        <v>3</v>
      </c>
    </row>
    <row r="39" spans="1:2" x14ac:dyDescent="0.25">
      <c r="A39" t="s">
        <v>37</v>
      </c>
      <c r="B39">
        <v>1</v>
      </c>
    </row>
    <row r="40" spans="1:2" x14ac:dyDescent="0.25">
      <c r="A40" t="s">
        <v>38</v>
      </c>
      <c r="B40">
        <v>2</v>
      </c>
    </row>
    <row r="41" spans="1:2" x14ac:dyDescent="0.25">
      <c r="A41" t="s">
        <v>39</v>
      </c>
      <c r="B41">
        <v>2</v>
      </c>
    </row>
    <row r="42" spans="1:2" x14ac:dyDescent="0.25">
      <c r="A42" t="s">
        <v>40</v>
      </c>
      <c r="B42">
        <v>2</v>
      </c>
    </row>
    <row r="43" spans="1:2" x14ac:dyDescent="0.25">
      <c r="A43" t="s">
        <v>41</v>
      </c>
      <c r="B43">
        <v>2</v>
      </c>
    </row>
    <row r="44" spans="1:2" x14ac:dyDescent="0.25">
      <c r="A44" t="s">
        <v>42</v>
      </c>
      <c r="B44">
        <v>2</v>
      </c>
    </row>
    <row r="45" spans="1:2" x14ac:dyDescent="0.25">
      <c r="A45" t="s">
        <v>43</v>
      </c>
      <c r="B45">
        <v>2</v>
      </c>
    </row>
    <row r="46" spans="1:2" x14ac:dyDescent="0.25">
      <c r="A46" t="s">
        <v>44</v>
      </c>
      <c r="B46">
        <v>2</v>
      </c>
    </row>
    <row r="47" spans="1:2" x14ac:dyDescent="0.25">
      <c r="A47" t="s">
        <v>45</v>
      </c>
      <c r="B47">
        <v>2</v>
      </c>
    </row>
    <row r="48" spans="1:2" x14ac:dyDescent="0.25">
      <c r="A48" t="s">
        <v>46</v>
      </c>
      <c r="B48">
        <v>2</v>
      </c>
    </row>
    <row r="49" spans="1:2" x14ac:dyDescent="0.25">
      <c r="A49" t="s">
        <v>47</v>
      </c>
      <c r="B49">
        <v>2</v>
      </c>
    </row>
    <row r="50" spans="1:2" x14ac:dyDescent="0.25">
      <c r="A50" t="s">
        <v>48</v>
      </c>
      <c r="B50">
        <v>2</v>
      </c>
    </row>
    <row r="51" spans="1:2" x14ac:dyDescent="0.25">
      <c r="A51" t="s">
        <v>49</v>
      </c>
      <c r="B51">
        <v>2</v>
      </c>
    </row>
    <row r="52" spans="1:2" x14ac:dyDescent="0.25">
      <c r="A52" t="s">
        <v>50</v>
      </c>
      <c r="B52">
        <v>1</v>
      </c>
    </row>
    <row r="53" spans="1:2" x14ac:dyDescent="0.25">
      <c r="A53" t="s">
        <v>51</v>
      </c>
      <c r="B53">
        <v>1</v>
      </c>
    </row>
    <row r="54" spans="1:2" x14ac:dyDescent="0.25">
      <c r="A54" t="s">
        <v>52</v>
      </c>
      <c r="B54">
        <v>1</v>
      </c>
    </row>
    <row r="55" spans="1:2" x14ac:dyDescent="0.25">
      <c r="A55" t="s">
        <v>53</v>
      </c>
      <c r="B55">
        <v>1</v>
      </c>
    </row>
    <row r="56" spans="1:2" x14ac:dyDescent="0.25">
      <c r="A56" t="s">
        <v>54</v>
      </c>
      <c r="B56">
        <v>2</v>
      </c>
    </row>
    <row r="57" spans="1:2" x14ac:dyDescent="0.25">
      <c r="A57" t="s">
        <v>55</v>
      </c>
      <c r="B57">
        <v>2</v>
      </c>
    </row>
    <row r="58" spans="1:2" x14ac:dyDescent="0.25">
      <c r="A58" t="s">
        <v>56</v>
      </c>
      <c r="B58">
        <v>1</v>
      </c>
    </row>
    <row r="59" spans="1:2" x14ac:dyDescent="0.25">
      <c r="A59" t="s">
        <v>57</v>
      </c>
      <c r="B59">
        <v>2</v>
      </c>
    </row>
    <row r="60" spans="1:2" x14ac:dyDescent="0.25">
      <c r="A60" t="s">
        <v>58</v>
      </c>
      <c r="B60">
        <v>1</v>
      </c>
    </row>
    <row r="61" spans="1:2" x14ac:dyDescent="0.25">
      <c r="A61" t="s">
        <v>59</v>
      </c>
      <c r="B61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95A3E-F4CD-4A63-9E21-B2864212BF02}">
  <dimension ref="A1:Y61"/>
  <sheetViews>
    <sheetView workbookViewId="0">
      <selection activeCell="D4" sqref="C4:D5"/>
    </sheetView>
  </sheetViews>
  <sheetFormatPr defaultRowHeight="15" x14ac:dyDescent="0.25"/>
  <cols>
    <col min="1" max="1" width="8.7109375" bestFit="1" customWidth="1"/>
    <col min="2" max="2" width="6.7109375" bestFit="1" customWidth="1"/>
    <col min="3" max="3" width="9.42578125" bestFit="1" customWidth="1"/>
    <col min="4" max="4" width="10.5703125" bestFit="1" customWidth="1"/>
    <col min="5" max="5" width="16.28515625" bestFit="1" customWidth="1"/>
    <col min="6" max="6" width="15.7109375" bestFit="1" customWidth="1"/>
    <col min="7" max="7" width="11.85546875" bestFit="1" customWidth="1"/>
    <col min="8" max="8" width="18.7109375" bestFit="1" customWidth="1"/>
    <col min="9" max="9" width="16.28515625" bestFit="1" customWidth="1"/>
    <col min="10" max="10" width="20.7109375" bestFit="1" customWidth="1"/>
    <col min="11" max="11" width="20" bestFit="1" customWidth="1"/>
    <col min="12" max="12" width="6" bestFit="1" customWidth="1"/>
    <col min="13" max="13" width="8.42578125" bestFit="1" customWidth="1"/>
    <col min="14" max="14" width="9" bestFit="1" customWidth="1"/>
    <col min="15" max="15" width="9.28515625" bestFit="1" customWidth="1"/>
    <col min="16" max="16" width="9" bestFit="1" customWidth="1"/>
    <col min="17" max="17" width="9.140625" bestFit="1" customWidth="1"/>
    <col min="18" max="18" width="9.7109375" bestFit="1" customWidth="1"/>
    <col min="19" max="19" width="13.7109375" bestFit="1" customWidth="1"/>
    <col min="20" max="20" width="13.140625" bestFit="1" customWidth="1"/>
    <col min="21" max="21" width="13.28515625" bestFit="1" customWidth="1"/>
    <col min="22" max="22" width="12.7109375" bestFit="1" customWidth="1"/>
    <col min="23" max="23" width="17.85546875" bestFit="1" customWidth="1"/>
    <col min="24" max="24" width="20" bestFit="1" customWidth="1"/>
    <col min="25" max="25" width="25" bestFit="1" customWidth="1"/>
  </cols>
  <sheetData>
    <row r="1" spans="1:25" x14ac:dyDescent="0.25">
      <c r="A1" s="1" t="s">
        <v>60</v>
      </c>
      <c r="B1" s="1" t="s">
        <v>61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1" t="s">
        <v>92</v>
      </c>
      <c r="U1" s="1" t="s">
        <v>93</v>
      </c>
      <c r="V1" s="1" t="s">
        <v>94</v>
      </c>
      <c r="W1" s="1" t="s">
        <v>95</v>
      </c>
      <c r="X1" s="1" t="s">
        <v>96</v>
      </c>
      <c r="Y1" s="1" t="s">
        <v>97</v>
      </c>
    </row>
    <row r="2" spans="1:25" x14ac:dyDescent="0.25">
      <c r="A2" t="s">
        <v>0</v>
      </c>
      <c r="B2">
        <v>1</v>
      </c>
      <c r="C2" s="2">
        <v>46169</v>
      </c>
      <c r="D2" s="3">
        <v>289.66000000000003</v>
      </c>
      <c r="E2" s="3">
        <v>300</v>
      </c>
      <c r="F2" s="3">
        <v>250</v>
      </c>
      <c r="G2" s="3">
        <v>301</v>
      </c>
      <c r="H2" s="3">
        <v>478023712.25000012</v>
      </c>
      <c r="I2" s="3">
        <v>61943065.150000021</v>
      </c>
      <c r="J2" s="3">
        <v>-145560570577.73999</v>
      </c>
      <c r="K2" s="3">
        <v>54764001045.030014</v>
      </c>
      <c r="L2">
        <v>0.22700000000000001</v>
      </c>
      <c r="M2">
        <v>0.16600000000000001</v>
      </c>
      <c r="N2">
        <v>0.34</v>
      </c>
      <c r="O2">
        <v>34.837200000000003</v>
      </c>
      <c r="P2">
        <v>0.20748</v>
      </c>
      <c r="Q2">
        <v>0.12523400000000001</v>
      </c>
      <c r="R2">
        <v>0.25795000000000001</v>
      </c>
      <c r="S2">
        <v>271224</v>
      </c>
      <c r="T2">
        <v>576980</v>
      </c>
      <c r="U2">
        <v>2738049</v>
      </c>
      <c r="V2">
        <v>7712136</v>
      </c>
      <c r="W2">
        <v>46191</v>
      </c>
      <c r="X2">
        <v>3057302</v>
      </c>
      <c r="Y2">
        <v>142582</v>
      </c>
    </row>
    <row r="3" spans="1:25" x14ac:dyDescent="0.25">
      <c r="A3" t="s">
        <v>1</v>
      </c>
      <c r="B3">
        <v>1</v>
      </c>
      <c r="C3" s="2">
        <v>46169</v>
      </c>
      <c r="D3" s="3">
        <v>748.48</v>
      </c>
      <c r="E3" s="3">
        <v>800</v>
      </c>
      <c r="F3" s="3">
        <v>530</v>
      </c>
      <c r="G3" s="3">
        <v>651</v>
      </c>
      <c r="H3" s="3">
        <v>-6383180647.380002</v>
      </c>
      <c r="I3" s="3">
        <v>203810200.11000001</v>
      </c>
      <c r="J3" s="3">
        <v>-949422831273.69006</v>
      </c>
      <c r="K3" s="3">
        <v>332435807126.53998</v>
      </c>
      <c r="L3">
        <v>0.14199999999999999</v>
      </c>
      <c r="M3">
        <v>0.11</v>
      </c>
      <c r="N3">
        <v>0.26600000000000001</v>
      </c>
      <c r="O3">
        <v>19.5029</v>
      </c>
      <c r="P3">
        <v>0.102118</v>
      </c>
      <c r="Q3">
        <v>5.5587999999999999E-2</v>
      </c>
      <c r="R3">
        <v>0.20153599999999999</v>
      </c>
      <c r="S3">
        <v>2089380</v>
      </c>
      <c r="T3">
        <v>2117678</v>
      </c>
      <c r="U3">
        <v>5719757</v>
      </c>
      <c r="V3">
        <v>12635502</v>
      </c>
      <c r="W3">
        <v>46191</v>
      </c>
      <c r="X3">
        <v>3723671</v>
      </c>
      <c r="Y3">
        <v>88052</v>
      </c>
    </row>
    <row r="4" spans="1:25" x14ac:dyDescent="0.25">
      <c r="A4" t="s">
        <v>2</v>
      </c>
      <c r="B4">
        <v>1</v>
      </c>
      <c r="C4" s="2">
        <v>46169</v>
      </c>
      <c r="D4" s="3">
        <v>725.625</v>
      </c>
      <c r="E4" s="3">
        <v>700</v>
      </c>
      <c r="F4" s="3">
        <v>600</v>
      </c>
      <c r="G4" s="3">
        <v>556</v>
      </c>
      <c r="H4" s="3">
        <v>-691925074.72999978</v>
      </c>
      <c r="I4" s="3">
        <v>81260501.87000002</v>
      </c>
      <c r="J4" s="3">
        <v>-689799204037.87</v>
      </c>
      <c r="K4" s="3">
        <v>261768682146.56</v>
      </c>
      <c r="L4">
        <v>0.214</v>
      </c>
      <c r="M4">
        <v>0.14599999999999999</v>
      </c>
      <c r="N4">
        <v>0.29599999999999999</v>
      </c>
      <c r="O4">
        <v>44.058700000000002</v>
      </c>
      <c r="P4">
        <v>0.16647700000000001</v>
      </c>
      <c r="Q4">
        <v>6.9145999999999999E-2</v>
      </c>
      <c r="R4">
        <v>0.23716100000000001</v>
      </c>
      <c r="S4">
        <v>1548234</v>
      </c>
      <c r="T4">
        <v>1527146</v>
      </c>
      <c r="U4">
        <v>4196565</v>
      </c>
      <c r="V4">
        <v>6855267</v>
      </c>
      <c r="W4">
        <v>46191</v>
      </c>
      <c r="X4">
        <v>2736331</v>
      </c>
      <c r="Y4">
        <v>72392</v>
      </c>
    </row>
    <row r="5" spans="1:25" x14ac:dyDescent="0.25">
      <c r="A5" t="s">
        <v>3</v>
      </c>
      <c r="B5">
        <v>1</v>
      </c>
      <c r="C5" s="2">
        <v>46169</v>
      </c>
      <c r="D5" s="3">
        <v>88.344999999999999</v>
      </c>
      <c r="E5" s="3">
        <v>100</v>
      </c>
      <c r="F5" s="3">
        <v>5</v>
      </c>
      <c r="G5" s="3">
        <v>12.5</v>
      </c>
      <c r="H5" s="3">
        <v>1443781.65</v>
      </c>
      <c r="I5" s="3">
        <v>267571.49</v>
      </c>
      <c r="J5" s="3">
        <v>-22394600.219999999</v>
      </c>
      <c r="K5" s="3">
        <v>1548878600.6800001</v>
      </c>
      <c r="L5">
        <v>0.311</v>
      </c>
      <c r="M5">
        <v>0.24399999999999999</v>
      </c>
      <c r="N5">
        <v>0.49399999999999999</v>
      </c>
      <c r="O5">
        <v>27.3795</v>
      </c>
      <c r="P5">
        <v>0.245749</v>
      </c>
      <c r="Q5">
        <v>0.15029699999999999</v>
      </c>
      <c r="R5">
        <v>0.59555499999999995</v>
      </c>
      <c r="S5">
        <v>91640</v>
      </c>
      <c r="T5">
        <v>33241</v>
      </c>
      <c r="U5">
        <v>3058481</v>
      </c>
      <c r="V5">
        <v>2538523</v>
      </c>
      <c r="W5">
        <v>46402</v>
      </c>
      <c r="X5">
        <v>1388839</v>
      </c>
      <c r="Y5">
        <v>3104</v>
      </c>
    </row>
    <row r="6" spans="1:25" x14ac:dyDescent="0.25">
      <c r="A6" t="s">
        <v>4</v>
      </c>
      <c r="B6">
        <v>1</v>
      </c>
      <c r="C6" s="2">
        <v>46169</v>
      </c>
      <c r="D6" s="3">
        <v>270.43</v>
      </c>
      <c r="E6" s="3">
        <v>275</v>
      </c>
      <c r="F6" s="3">
        <v>200</v>
      </c>
      <c r="G6" s="3">
        <v>75</v>
      </c>
      <c r="H6" s="3">
        <v>914302077.14999986</v>
      </c>
      <c r="I6" s="3">
        <v>34860515.370000005</v>
      </c>
      <c r="J6" s="3">
        <v>-16152750961.159996</v>
      </c>
      <c r="K6" s="3">
        <v>68165540978.800003</v>
      </c>
      <c r="L6">
        <v>0.30399999999999999</v>
      </c>
      <c r="M6">
        <v>0.23200000000000001</v>
      </c>
      <c r="N6">
        <v>0.503</v>
      </c>
      <c r="O6">
        <v>27.332599999999999</v>
      </c>
      <c r="P6">
        <v>0.20300000000000001</v>
      </c>
      <c r="Q6">
        <v>0.15371099999999999</v>
      </c>
      <c r="R6">
        <v>0.47581400000000001</v>
      </c>
      <c r="S6">
        <v>369404</v>
      </c>
      <c r="T6">
        <v>82987</v>
      </c>
      <c r="U6">
        <v>3051097</v>
      </c>
      <c r="V6">
        <v>1838294</v>
      </c>
      <c r="W6">
        <v>46402</v>
      </c>
      <c r="X6">
        <v>985558</v>
      </c>
      <c r="Y6">
        <v>8512</v>
      </c>
    </row>
    <row r="7" spans="1:25" x14ac:dyDescent="0.25">
      <c r="A7" t="s">
        <v>5</v>
      </c>
      <c r="B7">
        <v>1</v>
      </c>
      <c r="C7" s="2">
        <v>46169</v>
      </c>
      <c r="D7" s="3">
        <v>310.88499999999999</v>
      </c>
      <c r="E7" s="3">
        <v>300</v>
      </c>
      <c r="F7" s="3">
        <v>250</v>
      </c>
      <c r="G7" s="3">
        <v>10</v>
      </c>
      <c r="H7" s="3">
        <v>1785489950.4199994</v>
      </c>
      <c r="I7" s="3">
        <v>18005563.049999997</v>
      </c>
      <c r="J7" s="3">
        <v>-80385998466.13002</v>
      </c>
      <c r="K7" s="3">
        <v>84867562802.399963</v>
      </c>
      <c r="L7">
        <v>0.22600000000000001</v>
      </c>
      <c r="M7">
        <v>0.17</v>
      </c>
      <c r="N7">
        <v>0.33</v>
      </c>
      <c r="O7">
        <v>34.417499999999997</v>
      </c>
      <c r="P7">
        <v>0.169879</v>
      </c>
      <c r="Q7">
        <v>9.5371999999999998E-2</v>
      </c>
      <c r="R7">
        <v>0.33883000000000002</v>
      </c>
      <c r="S7">
        <v>504899</v>
      </c>
      <c r="T7">
        <v>208564</v>
      </c>
      <c r="U7">
        <v>2831629</v>
      </c>
      <c r="V7">
        <v>2039460</v>
      </c>
      <c r="W7">
        <v>46191</v>
      </c>
      <c r="X7">
        <v>954363</v>
      </c>
      <c r="Y7">
        <v>35405</v>
      </c>
    </row>
    <row r="8" spans="1:25" x14ac:dyDescent="0.25">
      <c r="A8" t="s">
        <v>6</v>
      </c>
      <c r="B8">
        <v>1</v>
      </c>
      <c r="C8" s="2">
        <v>46169</v>
      </c>
      <c r="D8" s="3">
        <v>439.51</v>
      </c>
      <c r="E8" s="3">
        <v>500</v>
      </c>
      <c r="F8" s="3">
        <v>300</v>
      </c>
      <c r="G8" s="3">
        <v>347.5</v>
      </c>
      <c r="H8" s="3">
        <v>1033378751.5800003</v>
      </c>
      <c r="I8" s="3">
        <v>35632018.630000003</v>
      </c>
      <c r="J8" s="3">
        <v>-183549116790.94998</v>
      </c>
      <c r="K8" s="3">
        <v>102482185205.74998</v>
      </c>
      <c r="L8">
        <v>0.46400000000000002</v>
      </c>
      <c r="M8">
        <v>0.39</v>
      </c>
      <c r="N8">
        <v>0.77300000000000002</v>
      </c>
      <c r="O8">
        <v>19.6541</v>
      </c>
      <c r="P8">
        <v>0.38440600000000003</v>
      </c>
      <c r="Q8">
        <v>0.28529300000000002</v>
      </c>
      <c r="R8">
        <v>0.80359000000000003</v>
      </c>
      <c r="S8">
        <v>1360069</v>
      </c>
      <c r="T8">
        <v>670519</v>
      </c>
      <c r="U8">
        <v>3761925</v>
      </c>
      <c r="V8">
        <v>2780220</v>
      </c>
      <c r="W8">
        <v>46191</v>
      </c>
      <c r="X8">
        <v>1231303</v>
      </c>
      <c r="Y8">
        <v>84452</v>
      </c>
    </row>
    <row r="9" spans="1:25" x14ac:dyDescent="0.25">
      <c r="A9" t="s">
        <v>7</v>
      </c>
      <c r="B9">
        <v>1</v>
      </c>
      <c r="C9" s="2">
        <v>46169</v>
      </c>
      <c r="D9" s="3">
        <v>612.80999999999995</v>
      </c>
      <c r="E9" s="3">
        <v>750</v>
      </c>
      <c r="F9" s="3">
        <v>500</v>
      </c>
      <c r="G9" s="3">
        <v>15</v>
      </c>
      <c r="H9" s="3">
        <v>-46202.630000000005</v>
      </c>
      <c r="I9" s="3">
        <v>345239.80000000005</v>
      </c>
      <c r="J9" s="3">
        <v>-392801030.24000001</v>
      </c>
      <c r="K9" s="3">
        <v>16400316441.699999</v>
      </c>
      <c r="L9">
        <v>0.30199999999999999</v>
      </c>
      <c r="M9">
        <v>0.23400000000000001</v>
      </c>
      <c r="N9">
        <v>0.48799999999999999</v>
      </c>
      <c r="O9">
        <v>27.684000000000001</v>
      </c>
      <c r="P9">
        <v>0.34235300000000002</v>
      </c>
      <c r="Q9">
        <v>0.17115</v>
      </c>
      <c r="R9">
        <v>0.52788999999999997</v>
      </c>
      <c r="S9">
        <v>185827</v>
      </c>
      <c r="T9">
        <v>66997</v>
      </c>
      <c r="U9">
        <v>2037308</v>
      </c>
      <c r="V9">
        <v>942401</v>
      </c>
      <c r="W9">
        <v>46191</v>
      </c>
      <c r="X9">
        <v>764920</v>
      </c>
      <c r="Y9">
        <v>9945</v>
      </c>
    </row>
    <row r="10" spans="1:25" x14ac:dyDescent="0.25">
      <c r="A10" t="s">
        <v>8</v>
      </c>
      <c r="B10">
        <v>2</v>
      </c>
      <c r="C10" s="2">
        <v>46169</v>
      </c>
      <c r="D10" s="3">
        <v>133.25</v>
      </c>
      <c r="E10" s="3">
        <v>150</v>
      </c>
      <c r="F10" s="3">
        <v>120</v>
      </c>
      <c r="G10" s="3">
        <v>25</v>
      </c>
      <c r="H10" s="3">
        <v>-8102894.5200000098</v>
      </c>
      <c r="I10" s="3">
        <v>12102195.740000002</v>
      </c>
      <c r="J10" s="3">
        <v>-10598794750.520004</v>
      </c>
      <c r="K10" s="3">
        <v>170661743.63000003</v>
      </c>
      <c r="L10">
        <v>0.45600000000000002</v>
      </c>
      <c r="M10">
        <v>0.40500000000000003</v>
      </c>
      <c r="N10">
        <v>0.746</v>
      </c>
      <c r="O10">
        <v>15.191000000000001</v>
      </c>
      <c r="P10">
        <v>0.38167800000000002</v>
      </c>
      <c r="Q10">
        <v>0.28207700000000002</v>
      </c>
      <c r="R10">
        <v>0.72988600000000003</v>
      </c>
      <c r="S10">
        <v>128888</v>
      </c>
      <c r="T10">
        <v>59437</v>
      </c>
      <c r="U10">
        <v>1782352</v>
      </c>
      <c r="V10">
        <v>1783595</v>
      </c>
      <c r="W10">
        <v>46191</v>
      </c>
      <c r="X10">
        <v>674787</v>
      </c>
      <c r="Y10">
        <v>20344</v>
      </c>
    </row>
    <row r="11" spans="1:25" x14ac:dyDescent="0.25">
      <c r="A11" t="s">
        <v>9</v>
      </c>
      <c r="B11">
        <v>1</v>
      </c>
      <c r="C11" s="2">
        <v>46169</v>
      </c>
      <c r="D11" s="3">
        <v>387.11</v>
      </c>
      <c r="E11" s="3">
        <v>400</v>
      </c>
      <c r="F11" s="3">
        <v>330</v>
      </c>
      <c r="G11" s="3">
        <v>80</v>
      </c>
      <c r="H11" s="3">
        <v>284947500.87000006</v>
      </c>
      <c r="I11" s="3">
        <v>9044567.4499999974</v>
      </c>
      <c r="J11" s="3">
        <v>-7992680223.3999977</v>
      </c>
      <c r="K11" s="3">
        <v>33745163320.850006</v>
      </c>
      <c r="L11">
        <v>0.30599999999999999</v>
      </c>
      <c r="M11">
        <v>0.245</v>
      </c>
      <c r="N11">
        <v>0.44400000000000001</v>
      </c>
      <c r="O11">
        <v>30.2849</v>
      </c>
      <c r="P11">
        <v>0.40091700000000002</v>
      </c>
      <c r="Q11">
        <v>0.15762899999999999</v>
      </c>
      <c r="R11">
        <v>0.40767300000000001</v>
      </c>
      <c r="S11">
        <v>39491</v>
      </c>
      <c r="T11">
        <v>16769</v>
      </c>
      <c r="U11">
        <v>998050</v>
      </c>
      <c r="V11">
        <v>810634</v>
      </c>
      <c r="W11">
        <v>46191</v>
      </c>
      <c r="X11">
        <v>429110</v>
      </c>
      <c r="Y11">
        <v>8112</v>
      </c>
    </row>
    <row r="12" spans="1:25" x14ac:dyDescent="0.25">
      <c r="A12" t="s">
        <v>10</v>
      </c>
      <c r="B12">
        <v>1</v>
      </c>
      <c r="C12" s="2">
        <v>46169</v>
      </c>
      <c r="D12" s="3">
        <v>412.73</v>
      </c>
      <c r="E12" s="3">
        <v>575</v>
      </c>
      <c r="F12" s="3">
        <v>400</v>
      </c>
      <c r="G12" s="3">
        <v>180</v>
      </c>
      <c r="H12" s="3">
        <v>318010793.81999999</v>
      </c>
      <c r="I12" s="3">
        <v>50668125.690000013</v>
      </c>
      <c r="J12" s="3">
        <v>-98292411998.730011</v>
      </c>
      <c r="K12" s="3">
        <v>24413323024.25</v>
      </c>
      <c r="L12">
        <v>0.27800000000000002</v>
      </c>
      <c r="M12">
        <v>0.16400000000000001</v>
      </c>
      <c r="N12">
        <v>0.40600000000000003</v>
      </c>
      <c r="O12">
        <v>47.825299999999999</v>
      </c>
      <c r="P12">
        <v>0.23097699999999999</v>
      </c>
      <c r="Q12">
        <v>9.9789000000000003E-2</v>
      </c>
      <c r="R12">
        <v>0.48585499999999998</v>
      </c>
      <c r="S12">
        <v>251877</v>
      </c>
      <c r="T12">
        <v>72376</v>
      </c>
      <c r="U12">
        <v>2629585</v>
      </c>
      <c r="V12">
        <v>1250015</v>
      </c>
      <c r="W12">
        <v>46191</v>
      </c>
      <c r="X12">
        <v>755227</v>
      </c>
      <c r="Y12">
        <v>25494</v>
      </c>
    </row>
    <row r="13" spans="1:25" x14ac:dyDescent="0.25">
      <c r="A13" t="s">
        <v>11</v>
      </c>
      <c r="B13">
        <v>1</v>
      </c>
      <c r="C13" s="2">
        <v>46169</v>
      </c>
      <c r="D13" s="3">
        <v>209.46</v>
      </c>
      <c r="E13" s="3">
        <v>200</v>
      </c>
      <c r="F13" s="3">
        <v>200</v>
      </c>
      <c r="G13" s="3">
        <v>430</v>
      </c>
      <c r="H13" s="3">
        <v>685219160.18999982</v>
      </c>
      <c r="I13" s="3">
        <v>136133314.23000002</v>
      </c>
      <c r="J13" s="3">
        <v>-288623414541.39001</v>
      </c>
      <c r="K13" s="3">
        <v>76516757934.480011</v>
      </c>
      <c r="L13">
        <v>0.377</v>
      </c>
      <c r="M13">
        <v>0.312</v>
      </c>
      <c r="N13">
        <v>0.55100000000000005</v>
      </c>
      <c r="O13">
        <v>32.941200000000002</v>
      </c>
      <c r="P13">
        <v>0.40668900000000002</v>
      </c>
      <c r="Q13">
        <v>0.219718</v>
      </c>
      <c r="R13">
        <v>0.46928999999999998</v>
      </c>
      <c r="S13">
        <v>1382740</v>
      </c>
      <c r="T13">
        <v>601114</v>
      </c>
      <c r="U13">
        <v>8807426</v>
      </c>
      <c r="V13">
        <v>7132636</v>
      </c>
      <c r="W13">
        <v>46191</v>
      </c>
      <c r="X13">
        <v>3480445</v>
      </c>
      <c r="Y13">
        <v>141159</v>
      </c>
    </row>
    <row r="14" spans="1:25" x14ac:dyDescent="0.25">
      <c r="A14" t="s">
        <v>12</v>
      </c>
      <c r="B14">
        <v>2</v>
      </c>
      <c r="C14" s="2">
        <v>46169</v>
      </c>
      <c r="D14" s="3">
        <v>63.22</v>
      </c>
      <c r="E14" s="3">
        <v>70</v>
      </c>
      <c r="F14" s="3">
        <v>50</v>
      </c>
      <c r="G14" s="3">
        <v>41</v>
      </c>
      <c r="H14" s="3">
        <v>16476579.4</v>
      </c>
      <c r="I14" s="3">
        <v>2802635.49</v>
      </c>
      <c r="J14" s="3">
        <v>-1797940977.6100004</v>
      </c>
      <c r="K14" s="3">
        <v>760329671.28000009</v>
      </c>
      <c r="L14">
        <v>0.53400000000000003</v>
      </c>
      <c r="M14">
        <v>0.32200000000000001</v>
      </c>
      <c r="N14">
        <v>0.64700000000000002</v>
      </c>
      <c r="O14">
        <v>62.4358</v>
      </c>
      <c r="P14">
        <v>0.48881999999999998</v>
      </c>
      <c r="Q14">
        <v>0.218476</v>
      </c>
      <c r="R14">
        <v>0.820245</v>
      </c>
      <c r="S14">
        <v>5012</v>
      </c>
      <c r="T14">
        <v>1746</v>
      </c>
      <c r="U14">
        <v>639780</v>
      </c>
      <c r="V14">
        <v>623683</v>
      </c>
      <c r="W14">
        <v>46191</v>
      </c>
      <c r="X14">
        <v>347011</v>
      </c>
      <c r="Y14">
        <v>1010</v>
      </c>
    </row>
    <row r="15" spans="1:25" x14ac:dyDescent="0.25">
      <c r="A15" t="s">
        <v>13</v>
      </c>
      <c r="B15">
        <v>2</v>
      </c>
      <c r="C15" s="2">
        <v>46169</v>
      </c>
      <c r="D15" s="3">
        <v>106.935</v>
      </c>
      <c r="E15" s="3">
        <v>140</v>
      </c>
      <c r="F15" s="3">
        <v>90</v>
      </c>
      <c r="G15" s="3">
        <v>23</v>
      </c>
      <c r="H15" s="3">
        <v>-14824302.99</v>
      </c>
      <c r="I15" s="3">
        <v>1265668.8599999996</v>
      </c>
      <c r="J15" s="3">
        <v>-1915538545.4899998</v>
      </c>
      <c r="K15" s="3">
        <v>91116979.250000015</v>
      </c>
      <c r="L15">
        <v>0.53200000000000003</v>
      </c>
      <c r="M15">
        <v>0.38400000000000001</v>
      </c>
      <c r="N15">
        <v>0.68200000000000005</v>
      </c>
      <c r="O15">
        <v>47.414299999999997</v>
      </c>
      <c r="P15">
        <v>0.55646200000000001</v>
      </c>
      <c r="Q15">
        <v>0.27604600000000001</v>
      </c>
      <c r="R15">
        <v>0.917547</v>
      </c>
      <c r="S15">
        <v>2659</v>
      </c>
      <c r="T15">
        <v>950</v>
      </c>
      <c r="U15">
        <v>167145</v>
      </c>
      <c r="V15">
        <v>222680</v>
      </c>
      <c r="W15">
        <v>46191</v>
      </c>
      <c r="X15">
        <v>131639</v>
      </c>
      <c r="Y15">
        <v>329</v>
      </c>
    </row>
    <row r="16" spans="1:25" x14ac:dyDescent="0.25">
      <c r="A16" t="s">
        <v>14</v>
      </c>
      <c r="B16">
        <v>2</v>
      </c>
      <c r="C16" s="2">
        <v>46169</v>
      </c>
      <c r="D16" s="3">
        <v>108.0183</v>
      </c>
      <c r="E16" s="3">
        <v>120</v>
      </c>
      <c r="F16" s="3">
        <v>100</v>
      </c>
      <c r="G16" s="3">
        <v>22.5</v>
      </c>
      <c r="H16" s="3">
        <v>-10685053.060000002</v>
      </c>
      <c r="I16" s="3">
        <v>526908.73999999987</v>
      </c>
      <c r="J16" s="3">
        <v>-117615200.73999998</v>
      </c>
      <c r="K16" s="3">
        <v>787848442.96000016</v>
      </c>
      <c r="L16">
        <v>0.47299999999999998</v>
      </c>
      <c r="M16">
        <v>0.30099999999999999</v>
      </c>
      <c r="N16">
        <v>0.624</v>
      </c>
      <c r="O16">
        <v>50.122599999999998</v>
      </c>
      <c r="P16">
        <v>0.49488599999999999</v>
      </c>
      <c r="Q16">
        <v>0.186946</v>
      </c>
      <c r="R16">
        <v>0.72510799999999997</v>
      </c>
      <c r="S16">
        <v>3542</v>
      </c>
      <c r="T16">
        <v>2102</v>
      </c>
      <c r="U16">
        <v>293213</v>
      </c>
      <c r="V16">
        <v>233778</v>
      </c>
      <c r="W16">
        <v>46402</v>
      </c>
      <c r="X16">
        <v>122702</v>
      </c>
      <c r="Y16">
        <v>256</v>
      </c>
    </row>
    <row r="17" spans="1:25" x14ac:dyDescent="0.25">
      <c r="A17" t="s">
        <v>15</v>
      </c>
      <c r="B17">
        <v>2</v>
      </c>
      <c r="C17" s="2">
        <v>46169</v>
      </c>
      <c r="D17" s="3">
        <v>16.3401</v>
      </c>
      <c r="E17" s="3">
        <v>15</v>
      </c>
      <c r="F17" s="3">
        <v>10</v>
      </c>
      <c r="G17" s="3">
        <v>1</v>
      </c>
      <c r="H17" s="3">
        <v>9098974.3900000062</v>
      </c>
      <c r="I17" s="3">
        <v>106375.96999999999</v>
      </c>
      <c r="J17" s="3">
        <v>-343689872.80000001</v>
      </c>
      <c r="K17" s="3">
        <v>85457536.260000005</v>
      </c>
      <c r="L17">
        <v>0.34</v>
      </c>
      <c r="M17">
        <v>0.19800000000000001</v>
      </c>
      <c r="N17">
        <v>0.443</v>
      </c>
      <c r="O17">
        <v>60.914299999999997</v>
      </c>
      <c r="P17">
        <v>0.35902099999999998</v>
      </c>
      <c r="Q17">
        <v>0.109823</v>
      </c>
      <c r="R17">
        <v>0.49229000000000001</v>
      </c>
      <c r="S17">
        <v>1626</v>
      </c>
      <c r="T17">
        <v>2696</v>
      </c>
      <c r="U17">
        <v>809690</v>
      </c>
      <c r="V17">
        <v>830824</v>
      </c>
      <c r="W17">
        <v>46402</v>
      </c>
      <c r="X17">
        <v>543076</v>
      </c>
      <c r="Y17">
        <v>393</v>
      </c>
    </row>
    <row r="18" spans="1:25" x14ac:dyDescent="0.25">
      <c r="A18" t="s">
        <v>16</v>
      </c>
      <c r="B18">
        <v>1</v>
      </c>
      <c r="C18" s="2">
        <v>46169</v>
      </c>
      <c r="D18" s="3">
        <v>255.10499999999999</v>
      </c>
      <c r="E18" s="3">
        <v>300</v>
      </c>
      <c r="F18" s="3">
        <v>220</v>
      </c>
      <c r="G18" s="3">
        <v>192.5</v>
      </c>
      <c r="H18" s="3">
        <v>21364349.949999999</v>
      </c>
      <c r="I18" s="3">
        <v>2005073.5200000005</v>
      </c>
      <c r="J18" s="3">
        <v>-1624178331.6200004</v>
      </c>
      <c r="K18" s="3">
        <v>2165606843.9899998</v>
      </c>
      <c r="L18">
        <v>0.40899999999999997</v>
      </c>
      <c r="M18">
        <v>0.20200000000000001</v>
      </c>
      <c r="N18">
        <v>0.56000000000000005</v>
      </c>
      <c r="O18">
        <v>58.620699999999999</v>
      </c>
      <c r="P18">
        <v>0.480877</v>
      </c>
      <c r="Q18">
        <v>0.12902</v>
      </c>
      <c r="R18">
        <v>0.68692500000000001</v>
      </c>
      <c r="S18">
        <v>25647</v>
      </c>
      <c r="T18">
        <v>5751</v>
      </c>
      <c r="U18">
        <v>259615</v>
      </c>
      <c r="V18">
        <v>178820</v>
      </c>
      <c r="W18">
        <v>46191</v>
      </c>
      <c r="X18">
        <v>91394</v>
      </c>
      <c r="Y18">
        <v>4015</v>
      </c>
    </row>
    <row r="19" spans="1:25" x14ac:dyDescent="0.25">
      <c r="A19" t="s">
        <v>17</v>
      </c>
      <c r="B19">
        <v>3</v>
      </c>
      <c r="C19" s="2">
        <v>46169</v>
      </c>
      <c r="D19" s="3">
        <v>99.872</v>
      </c>
      <c r="E19" s="3">
        <v>120</v>
      </c>
      <c r="F19" s="3">
        <v>65</v>
      </c>
      <c r="G19" s="3">
        <v>32.5</v>
      </c>
      <c r="H19" s="3">
        <v>3659428.5400000005</v>
      </c>
      <c r="I19" s="3">
        <v>7589548.669999999</v>
      </c>
      <c r="J19" s="3">
        <v>-5362882853.46</v>
      </c>
      <c r="K19" s="3">
        <v>848231574.32000029</v>
      </c>
      <c r="L19">
        <v>0.85699999999999998</v>
      </c>
      <c r="M19">
        <v>0.67600000000000005</v>
      </c>
      <c r="N19">
        <v>1.581</v>
      </c>
      <c r="O19">
        <v>19.518599999999999</v>
      </c>
      <c r="P19">
        <v>0.87943700000000002</v>
      </c>
      <c r="Q19">
        <v>0.62738799999999995</v>
      </c>
      <c r="R19">
        <v>1.7107300000000001</v>
      </c>
      <c r="S19">
        <v>44270</v>
      </c>
      <c r="T19">
        <v>42120</v>
      </c>
      <c r="U19">
        <v>1044844</v>
      </c>
      <c r="V19">
        <v>859296</v>
      </c>
      <c r="W19">
        <v>46191</v>
      </c>
      <c r="X19">
        <v>575051</v>
      </c>
      <c r="Y19">
        <v>8750</v>
      </c>
    </row>
    <row r="20" spans="1:25" x14ac:dyDescent="0.25">
      <c r="A20" t="s">
        <v>18</v>
      </c>
      <c r="B20">
        <v>1</v>
      </c>
      <c r="C20" s="2">
        <v>46169</v>
      </c>
      <c r="D20" s="3">
        <v>118.815</v>
      </c>
      <c r="E20" s="3">
        <v>120</v>
      </c>
      <c r="F20" s="3">
        <v>70</v>
      </c>
      <c r="G20" s="3">
        <v>71</v>
      </c>
      <c r="H20" s="3">
        <v>43126679.509999983</v>
      </c>
      <c r="I20" s="3">
        <v>1968256.5699999998</v>
      </c>
      <c r="J20" s="3">
        <v>-955408940.63999975</v>
      </c>
      <c r="K20" s="3">
        <v>3043070714.9299998</v>
      </c>
      <c r="L20">
        <v>0.38200000000000001</v>
      </c>
      <c r="M20">
        <v>0.16400000000000001</v>
      </c>
      <c r="N20">
        <v>0.495</v>
      </c>
      <c r="O20">
        <v>65.3583</v>
      </c>
      <c r="P20">
        <v>0.51568899999999995</v>
      </c>
      <c r="Q20">
        <v>0.11863899999999999</v>
      </c>
      <c r="R20">
        <v>0.55446099999999998</v>
      </c>
      <c r="S20">
        <v>17244</v>
      </c>
      <c r="T20">
        <v>10749</v>
      </c>
      <c r="U20">
        <v>590025</v>
      </c>
      <c r="V20">
        <v>404343</v>
      </c>
      <c r="W20">
        <v>46191</v>
      </c>
      <c r="X20">
        <v>245216</v>
      </c>
      <c r="Y20">
        <v>2863</v>
      </c>
    </row>
    <row r="21" spans="1:25" x14ac:dyDescent="0.25">
      <c r="A21" t="s">
        <v>19</v>
      </c>
      <c r="B21">
        <v>1</v>
      </c>
      <c r="C21" s="2">
        <v>46169</v>
      </c>
      <c r="D21" s="3">
        <v>248.21</v>
      </c>
      <c r="E21" s="3">
        <v>200</v>
      </c>
      <c r="F21" s="3">
        <v>150</v>
      </c>
      <c r="G21" s="3">
        <v>182.5</v>
      </c>
      <c r="H21" s="3">
        <v>-4810520.6000000006</v>
      </c>
      <c r="I21" s="3">
        <v>1256122.22</v>
      </c>
      <c r="J21" s="3">
        <v>-280437582.47000003</v>
      </c>
      <c r="K21" s="3">
        <v>4375619039.8699999</v>
      </c>
      <c r="L21">
        <v>0.61199999999999999</v>
      </c>
      <c r="M21">
        <v>0.251</v>
      </c>
      <c r="N21">
        <v>0.61199999999999999</v>
      </c>
      <c r="O21">
        <v>100</v>
      </c>
      <c r="P21">
        <v>0.43360399999999999</v>
      </c>
      <c r="Q21">
        <v>0.14515500000000001</v>
      </c>
      <c r="R21">
        <v>0.55626200000000003</v>
      </c>
      <c r="S21">
        <v>8618</v>
      </c>
      <c r="T21">
        <v>8554</v>
      </c>
      <c r="U21">
        <v>283685</v>
      </c>
      <c r="V21">
        <v>299052</v>
      </c>
      <c r="W21">
        <v>46191</v>
      </c>
      <c r="X21">
        <v>138102</v>
      </c>
      <c r="Y21">
        <v>3492</v>
      </c>
    </row>
    <row r="22" spans="1:25" x14ac:dyDescent="0.25">
      <c r="A22" t="s">
        <v>20</v>
      </c>
      <c r="B22">
        <v>1</v>
      </c>
      <c r="C22" s="2"/>
      <c r="D22" s="3">
        <v>188.37</v>
      </c>
      <c r="E22" s="3">
        <v>200</v>
      </c>
      <c r="F22" s="3">
        <v>150</v>
      </c>
      <c r="G22" s="3">
        <v>131</v>
      </c>
      <c r="H22" s="3">
        <v>-78328060.539999992</v>
      </c>
      <c r="I22" s="3">
        <v>-3017096.7800000003</v>
      </c>
      <c r="J22" s="3">
        <v>-2738668564.3000002</v>
      </c>
      <c r="K22" s="3">
        <v>1011495422.6800001</v>
      </c>
      <c r="S22">
        <v>52761</v>
      </c>
      <c r="T22">
        <v>27809</v>
      </c>
      <c r="U22">
        <v>1217217</v>
      </c>
      <c r="V22">
        <v>1093594</v>
      </c>
      <c r="W22">
        <v>46191</v>
      </c>
      <c r="X22">
        <v>560116</v>
      </c>
      <c r="Y22">
        <v>8657</v>
      </c>
    </row>
    <row r="23" spans="1:25" x14ac:dyDescent="0.25">
      <c r="A23" t="s">
        <v>21</v>
      </c>
      <c r="B23">
        <v>1</v>
      </c>
      <c r="C23" s="2">
        <v>46169</v>
      </c>
      <c r="D23" s="3">
        <v>210.47</v>
      </c>
      <c r="E23" s="3">
        <v>250</v>
      </c>
      <c r="F23" s="3">
        <v>140</v>
      </c>
      <c r="G23" s="3">
        <v>50</v>
      </c>
      <c r="H23" s="3">
        <v>-3839395.99</v>
      </c>
      <c r="I23" s="3">
        <v>261050.45000000004</v>
      </c>
      <c r="J23" s="3">
        <v>-316328539.91000003</v>
      </c>
      <c r="K23" s="3">
        <v>979175226.88000023</v>
      </c>
      <c r="L23">
        <v>0.63200000000000001</v>
      </c>
      <c r="M23">
        <v>0.38700000000000001</v>
      </c>
      <c r="N23">
        <v>0.88700000000000001</v>
      </c>
      <c r="O23">
        <v>52.451599999999999</v>
      </c>
      <c r="P23">
        <v>1.0876650000000001</v>
      </c>
      <c r="Q23">
        <v>0.26207999999999998</v>
      </c>
      <c r="R23">
        <v>1.264386</v>
      </c>
      <c r="S23">
        <v>2172</v>
      </c>
      <c r="T23">
        <v>1682</v>
      </c>
      <c r="U23">
        <v>154123</v>
      </c>
      <c r="V23">
        <v>113255</v>
      </c>
      <c r="W23">
        <v>46191</v>
      </c>
      <c r="X23">
        <v>71046</v>
      </c>
      <c r="Y23">
        <v>940</v>
      </c>
    </row>
    <row r="24" spans="1:25" x14ac:dyDescent="0.25">
      <c r="A24" t="s">
        <v>22</v>
      </c>
      <c r="B24">
        <v>1</v>
      </c>
      <c r="C24" s="2">
        <v>46169</v>
      </c>
      <c r="D24" s="3">
        <v>642.61</v>
      </c>
      <c r="E24" s="3">
        <v>470</v>
      </c>
      <c r="F24" s="3">
        <v>300</v>
      </c>
      <c r="G24" s="3">
        <v>980</v>
      </c>
      <c r="H24" s="3">
        <v>5142869.66</v>
      </c>
      <c r="I24" s="3">
        <v>1154038.2299999997</v>
      </c>
      <c r="J24" s="3">
        <v>-296914861.59000003</v>
      </c>
      <c r="K24" s="3">
        <v>11509702267.500002</v>
      </c>
      <c r="L24">
        <v>0.59899999999999998</v>
      </c>
      <c r="M24">
        <v>0.317</v>
      </c>
      <c r="N24">
        <v>0.66900000000000004</v>
      </c>
      <c r="O24">
        <v>81.581999999999994</v>
      </c>
      <c r="P24">
        <v>0.42868499999999998</v>
      </c>
      <c r="Q24">
        <v>0.245752</v>
      </c>
      <c r="R24">
        <v>0.73905100000000001</v>
      </c>
      <c r="S24">
        <v>11952</v>
      </c>
      <c r="T24">
        <v>11388</v>
      </c>
      <c r="U24">
        <v>199070</v>
      </c>
      <c r="V24">
        <v>186350</v>
      </c>
      <c r="W24">
        <v>46191</v>
      </c>
      <c r="X24">
        <v>83896</v>
      </c>
      <c r="Y24">
        <v>3112</v>
      </c>
    </row>
    <row r="25" spans="1:25" x14ac:dyDescent="0.25">
      <c r="A25" t="s">
        <v>23</v>
      </c>
      <c r="B25">
        <v>1</v>
      </c>
      <c r="C25" s="2">
        <v>46169</v>
      </c>
      <c r="D25" s="3">
        <v>181.17</v>
      </c>
      <c r="E25" s="3">
        <v>200</v>
      </c>
      <c r="F25" s="3">
        <v>170</v>
      </c>
      <c r="G25" s="3">
        <v>131</v>
      </c>
      <c r="H25" s="3">
        <v>-4970856.3099999987</v>
      </c>
      <c r="I25" s="3">
        <v>1529006.4700000009</v>
      </c>
      <c r="J25" s="3">
        <v>-3402210954.5799999</v>
      </c>
      <c r="K25" s="3">
        <v>45197790.850000031</v>
      </c>
      <c r="L25">
        <v>0.57699999999999996</v>
      </c>
      <c r="M25">
        <v>0.23699999999999999</v>
      </c>
      <c r="N25">
        <v>0.60499999999999998</v>
      </c>
      <c r="O25">
        <v>93.906300000000002</v>
      </c>
      <c r="P25">
        <v>0.37739400000000001</v>
      </c>
      <c r="Q25">
        <v>0.17368800000000001</v>
      </c>
      <c r="R25">
        <v>0.51445700000000005</v>
      </c>
      <c r="S25">
        <v>30640</v>
      </c>
      <c r="T25">
        <v>22381</v>
      </c>
      <c r="U25">
        <v>511147</v>
      </c>
      <c r="V25">
        <v>394791</v>
      </c>
      <c r="W25">
        <v>46191</v>
      </c>
      <c r="X25">
        <v>233749</v>
      </c>
      <c r="Y25">
        <v>9660</v>
      </c>
    </row>
    <row r="26" spans="1:25" x14ac:dyDescent="0.25">
      <c r="A26" t="s">
        <v>24</v>
      </c>
      <c r="B26">
        <v>1</v>
      </c>
      <c r="C26" s="2">
        <v>46169</v>
      </c>
      <c r="D26" s="3">
        <v>103.8599</v>
      </c>
      <c r="E26" s="3">
        <v>100</v>
      </c>
      <c r="F26" s="3">
        <v>100</v>
      </c>
      <c r="G26" s="3">
        <v>73</v>
      </c>
      <c r="H26" s="3">
        <v>15968382.380000008</v>
      </c>
      <c r="I26" s="3">
        <v>873625.92</v>
      </c>
      <c r="J26" s="3">
        <v>-3008753350.9699998</v>
      </c>
      <c r="K26" s="3">
        <v>855635469.17999995</v>
      </c>
      <c r="L26">
        <v>0.6</v>
      </c>
      <c r="M26">
        <v>0.27100000000000002</v>
      </c>
      <c r="N26">
        <v>0.748</v>
      </c>
      <c r="O26">
        <v>68.5959</v>
      </c>
      <c r="P26">
        <v>0.51657600000000004</v>
      </c>
      <c r="Q26">
        <v>0.143458</v>
      </c>
      <c r="R26">
        <v>0.95919699999999997</v>
      </c>
      <c r="S26">
        <v>85960</v>
      </c>
      <c r="T26">
        <v>15709</v>
      </c>
      <c r="U26">
        <v>812552</v>
      </c>
      <c r="V26">
        <v>591496</v>
      </c>
      <c r="W26">
        <v>46191</v>
      </c>
      <c r="X26">
        <v>283165</v>
      </c>
      <c r="Y26">
        <v>13675</v>
      </c>
    </row>
    <row r="27" spans="1:25" x14ac:dyDescent="0.25">
      <c r="A27" t="s">
        <v>25</v>
      </c>
      <c r="B27">
        <v>1</v>
      </c>
      <c r="C27" s="2">
        <v>46169</v>
      </c>
      <c r="D27" s="3">
        <v>240.76</v>
      </c>
      <c r="E27" s="3">
        <v>200</v>
      </c>
      <c r="F27" s="3">
        <v>220</v>
      </c>
      <c r="G27" s="3">
        <v>207.5</v>
      </c>
      <c r="H27" s="3">
        <v>-28978959.010000002</v>
      </c>
      <c r="I27" s="3">
        <v>1350741.3</v>
      </c>
      <c r="J27" s="3">
        <v>-2386718807.4600005</v>
      </c>
      <c r="K27" s="3">
        <v>-259156204.73000005</v>
      </c>
      <c r="L27">
        <v>0.57899999999999996</v>
      </c>
      <c r="M27">
        <v>0.22600000000000001</v>
      </c>
      <c r="N27">
        <v>0.57899999999999996</v>
      </c>
      <c r="O27">
        <v>100</v>
      </c>
      <c r="P27">
        <v>0.32796399999999998</v>
      </c>
      <c r="Q27">
        <v>0.18413499999999999</v>
      </c>
      <c r="R27">
        <v>0.47109699999999999</v>
      </c>
      <c r="S27">
        <v>8786</v>
      </c>
      <c r="T27">
        <v>7346</v>
      </c>
      <c r="U27">
        <v>365986</v>
      </c>
      <c r="V27">
        <v>250418</v>
      </c>
      <c r="W27">
        <v>46191</v>
      </c>
      <c r="X27">
        <v>131329</v>
      </c>
      <c r="Y27">
        <v>2663</v>
      </c>
    </row>
    <row r="28" spans="1:25" x14ac:dyDescent="0.25">
      <c r="A28" t="s">
        <v>26</v>
      </c>
      <c r="B28">
        <v>3</v>
      </c>
      <c r="C28" s="2">
        <v>46169</v>
      </c>
      <c r="D28" s="3">
        <v>179.95</v>
      </c>
      <c r="E28" s="3">
        <v>200</v>
      </c>
      <c r="F28" s="3">
        <v>70</v>
      </c>
      <c r="G28" s="3">
        <v>1</v>
      </c>
      <c r="H28" s="3">
        <v>1882955.0399999993</v>
      </c>
      <c r="I28" s="3">
        <v>366983.59999999986</v>
      </c>
      <c r="J28" s="3">
        <v>-380697772.85000008</v>
      </c>
      <c r="K28" s="3">
        <v>541851834.68999994</v>
      </c>
      <c r="L28">
        <v>1.3660000000000001</v>
      </c>
      <c r="M28">
        <v>0.85799999999999998</v>
      </c>
      <c r="N28">
        <v>1.629</v>
      </c>
      <c r="O28">
        <v>65.038799999999995</v>
      </c>
      <c r="P28">
        <v>1.4191050000000001</v>
      </c>
      <c r="Q28">
        <v>0.56312499999999999</v>
      </c>
      <c r="R28">
        <v>2.3195800000000002</v>
      </c>
      <c r="S28">
        <v>17130</v>
      </c>
      <c r="T28">
        <v>9154</v>
      </c>
      <c r="U28">
        <v>131978</v>
      </c>
      <c r="V28">
        <v>164394</v>
      </c>
      <c r="W28">
        <v>46171</v>
      </c>
      <c r="X28">
        <v>90145</v>
      </c>
      <c r="Y28">
        <v>11622</v>
      </c>
    </row>
    <row r="29" spans="1:25" x14ac:dyDescent="0.25">
      <c r="A29" t="s">
        <v>27</v>
      </c>
      <c r="B29">
        <v>1</v>
      </c>
      <c r="C29" s="2">
        <v>46169</v>
      </c>
      <c r="D29" s="3">
        <v>225.15</v>
      </c>
      <c r="E29" s="3">
        <v>300</v>
      </c>
      <c r="F29" s="3">
        <v>200</v>
      </c>
      <c r="G29" s="3">
        <v>133</v>
      </c>
      <c r="H29" s="3">
        <v>-6998162.8199999984</v>
      </c>
      <c r="I29" s="3">
        <v>-887787.34</v>
      </c>
      <c r="J29" s="3">
        <v>-650360542.77999985</v>
      </c>
      <c r="K29" s="3">
        <v>1754362556.1200004</v>
      </c>
      <c r="L29">
        <v>0.86899999999999999</v>
      </c>
      <c r="M29">
        <v>0.251</v>
      </c>
      <c r="N29">
        <v>0.92300000000000004</v>
      </c>
      <c r="O29">
        <v>90.487499999999997</v>
      </c>
      <c r="P29">
        <v>1.073615</v>
      </c>
      <c r="Q29">
        <v>0.162462</v>
      </c>
      <c r="R29">
        <v>1.073615</v>
      </c>
      <c r="S29">
        <v>85222</v>
      </c>
      <c r="T29">
        <v>33899</v>
      </c>
      <c r="U29">
        <v>616781</v>
      </c>
      <c r="V29">
        <v>448217</v>
      </c>
      <c r="W29">
        <v>46191</v>
      </c>
      <c r="X29">
        <v>265109</v>
      </c>
      <c r="Y29">
        <v>27083</v>
      </c>
    </row>
    <row r="30" spans="1:25" x14ac:dyDescent="0.25">
      <c r="A30" t="s">
        <v>28</v>
      </c>
      <c r="B30">
        <v>1</v>
      </c>
      <c r="C30" s="2">
        <v>46169</v>
      </c>
      <c r="D30" s="3">
        <v>904.02</v>
      </c>
      <c r="E30" s="3">
        <v>1000</v>
      </c>
      <c r="F30" s="3">
        <v>400</v>
      </c>
      <c r="G30" s="3">
        <v>15</v>
      </c>
      <c r="H30" s="3">
        <v>-3210151.0500000003</v>
      </c>
      <c r="I30" s="3">
        <v>-3858791.4499999993</v>
      </c>
      <c r="J30" s="3">
        <v>-479850775.9000001</v>
      </c>
      <c r="K30" s="3">
        <v>140965982455.26001</v>
      </c>
      <c r="L30">
        <v>1.03</v>
      </c>
      <c r="M30">
        <v>0.38100000000000001</v>
      </c>
      <c r="N30">
        <v>1.03</v>
      </c>
      <c r="O30">
        <v>100</v>
      </c>
      <c r="P30">
        <v>1.013514</v>
      </c>
      <c r="Q30">
        <v>0.28071200000000002</v>
      </c>
      <c r="R30">
        <v>1.0161990000000001</v>
      </c>
      <c r="S30">
        <v>393138</v>
      </c>
      <c r="T30">
        <v>258427</v>
      </c>
      <c r="U30">
        <v>1453216</v>
      </c>
      <c r="V30">
        <v>1881151</v>
      </c>
      <c r="W30">
        <v>46191</v>
      </c>
      <c r="X30">
        <v>678077</v>
      </c>
      <c r="Y30">
        <v>57906</v>
      </c>
    </row>
    <row r="31" spans="1:25" x14ac:dyDescent="0.25">
      <c r="A31" t="s">
        <v>29</v>
      </c>
      <c r="B31">
        <v>1</v>
      </c>
      <c r="C31" s="2">
        <v>46169</v>
      </c>
      <c r="D31" s="3">
        <v>415.99</v>
      </c>
      <c r="E31" s="3">
        <v>400</v>
      </c>
      <c r="F31" s="3">
        <v>400</v>
      </c>
      <c r="G31" s="3">
        <v>105</v>
      </c>
      <c r="H31" s="3">
        <v>130178381.77000001</v>
      </c>
      <c r="I31" s="3">
        <v>13441819.789999997</v>
      </c>
      <c r="J31" s="3">
        <v>-7338624032.2600002</v>
      </c>
      <c r="K31" s="3">
        <v>32646820402.98999</v>
      </c>
      <c r="L31">
        <v>0.47099999999999997</v>
      </c>
      <c r="M31">
        <v>0.28999999999999998</v>
      </c>
      <c r="N31">
        <v>0.50800000000000001</v>
      </c>
      <c r="O31">
        <v>85.214200000000005</v>
      </c>
      <c r="P31">
        <v>0.371452</v>
      </c>
      <c r="Q31">
        <v>0.21596299999999999</v>
      </c>
      <c r="R31">
        <v>0.50335200000000002</v>
      </c>
      <c r="S31">
        <v>66995</v>
      </c>
      <c r="T31">
        <v>48877</v>
      </c>
      <c r="U31">
        <v>788626</v>
      </c>
      <c r="V31">
        <v>972890</v>
      </c>
      <c r="W31">
        <v>46191</v>
      </c>
      <c r="X31">
        <v>376409</v>
      </c>
      <c r="Y31">
        <v>17112</v>
      </c>
    </row>
    <row r="32" spans="1:25" x14ac:dyDescent="0.25">
      <c r="A32" t="s">
        <v>30</v>
      </c>
      <c r="B32">
        <v>2</v>
      </c>
      <c r="C32" s="2">
        <v>46169</v>
      </c>
      <c r="D32" s="3">
        <v>443.39</v>
      </c>
      <c r="E32" s="3">
        <v>490</v>
      </c>
      <c r="F32" s="3">
        <v>380</v>
      </c>
      <c r="G32" s="3">
        <v>205</v>
      </c>
      <c r="H32" s="3">
        <v>3366022.8699999987</v>
      </c>
      <c r="I32" s="3">
        <v>874558.04999999993</v>
      </c>
      <c r="J32" s="3">
        <v>-810550919.29999995</v>
      </c>
      <c r="K32" s="3">
        <v>8236306690.6500006</v>
      </c>
      <c r="L32">
        <v>0.58199999999999996</v>
      </c>
      <c r="M32">
        <v>0.28000000000000003</v>
      </c>
      <c r="N32">
        <v>0.67500000000000004</v>
      </c>
      <c r="O32">
        <v>77.031800000000004</v>
      </c>
      <c r="P32">
        <v>0.54893099999999995</v>
      </c>
      <c r="Q32">
        <v>0.221634</v>
      </c>
      <c r="R32">
        <v>0.60054600000000002</v>
      </c>
      <c r="S32">
        <v>5677</v>
      </c>
      <c r="T32">
        <v>4903</v>
      </c>
      <c r="U32">
        <v>175955</v>
      </c>
      <c r="V32">
        <v>177351</v>
      </c>
      <c r="W32">
        <v>46191</v>
      </c>
      <c r="X32">
        <v>93928</v>
      </c>
      <c r="Y32">
        <v>1955</v>
      </c>
    </row>
    <row r="33" spans="1:25" x14ac:dyDescent="0.25">
      <c r="A33" t="s">
        <v>31</v>
      </c>
      <c r="B33">
        <v>1</v>
      </c>
      <c r="C33" s="2">
        <v>46169</v>
      </c>
      <c r="D33" s="3">
        <v>489.53</v>
      </c>
      <c r="E33" s="3">
        <v>400</v>
      </c>
      <c r="F33" s="3">
        <v>200</v>
      </c>
      <c r="G33" s="3">
        <v>1000</v>
      </c>
      <c r="H33" s="3">
        <v>201148626.68999997</v>
      </c>
      <c r="I33" s="3">
        <v>19479678.259999998</v>
      </c>
      <c r="J33" s="3">
        <v>-13346441122.289997</v>
      </c>
      <c r="K33" s="3">
        <v>79461982834.440002</v>
      </c>
      <c r="L33">
        <v>0.70199999999999996</v>
      </c>
      <c r="M33">
        <v>0.38700000000000001</v>
      </c>
      <c r="N33">
        <v>0.73299999999999998</v>
      </c>
      <c r="O33">
        <v>92.564800000000005</v>
      </c>
      <c r="P33">
        <v>0.89483500000000005</v>
      </c>
      <c r="Q33">
        <v>0.31648700000000002</v>
      </c>
      <c r="R33">
        <v>0.98480800000000002</v>
      </c>
      <c r="S33">
        <v>114487</v>
      </c>
      <c r="T33">
        <v>85231</v>
      </c>
      <c r="U33">
        <v>1547144</v>
      </c>
      <c r="V33">
        <v>1643782</v>
      </c>
      <c r="W33">
        <v>46191</v>
      </c>
      <c r="X33">
        <v>673884</v>
      </c>
      <c r="Y33">
        <v>19132</v>
      </c>
    </row>
    <row r="34" spans="1:25" x14ac:dyDescent="0.25">
      <c r="A34" t="s">
        <v>32</v>
      </c>
      <c r="B34">
        <v>2</v>
      </c>
      <c r="C34" s="2">
        <v>46169</v>
      </c>
      <c r="D34" s="3">
        <v>118.06</v>
      </c>
      <c r="E34" s="3">
        <v>50</v>
      </c>
      <c r="F34" s="3">
        <v>15</v>
      </c>
      <c r="G34" s="3">
        <v>26</v>
      </c>
      <c r="H34" s="3">
        <v>4945903.5000000028</v>
      </c>
      <c r="I34" s="3">
        <v>4209334.8599999985</v>
      </c>
      <c r="J34" s="3">
        <v>-3661893035.2100005</v>
      </c>
      <c r="K34" s="3">
        <v>20927911635.799999</v>
      </c>
      <c r="L34">
        <v>0.80200000000000005</v>
      </c>
      <c r="M34">
        <v>0.38200000000000001</v>
      </c>
      <c r="N34">
        <v>0.96499999999999997</v>
      </c>
      <c r="O34">
        <v>75.842600000000004</v>
      </c>
      <c r="P34">
        <v>0.91654999999999998</v>
      </c>
      <c r="Q34">
        <v>0.33862500000000001</v>
      </c>
      <c r="R34">
        <v>1.1350359999999999</v>
      </c>
      <c r="S34">
        <v>169157</v>
      </c>
      <c r="T34">
        <v>111020</v>
      </c>
      <c r="U34">
        <v>2802549</v>
      </c>
      <c r="V34">
        <v>2910870</v>
      </c>
      <c r="W34">
        <v>46191</v>
      </c>
      <c r="X34">
        <v>1498222</v>
      </c>
      <c r="Y34">
        <v>43377</v>
      </c>
    </row>
    <row r="35" spans="1:25" x14ac:dyDescent="0.25">
      <c r="A35" t="s">
        <v>33</v>
      </c>
      <c r="B35">
        <v>2</v>
      </c>
      <c r="C35" s="2">
        <v>46169</v>
      </c>
      <c r="D35" s="3">
        <v>37.130000000000003</v>
      </c>
      <c r="E35" s="3">
        <v>35</v>
      </c>
      <c r="F35" s="3">
        <v>10</v>
      </c>
      <c r="G35" s="3">
        <v>19.5</v>
      </c>
      <c r="H35" s="3">
        <v>-3074380.6999999993</v>
      </c>
      <c r="I35" s="3">
        <v>-700174.55</v>
      </c>
      <c r="J35" s="3">
        <v>-324360133.10000002</v>
      </c>
      <c r="K35" s="3">
        <v>173026879.58999997</v>
      </c>
      <c r="L35">
        <v>0.83099999999999996</v>
      </c>
      <c r="M35">
        <v>0.52</v>
      </c>
      <c r="N35">
        <v>1.0900000000000001</v>
      </c>
      <c r="O35">
        <v>55.494799999999998</v>
      </c>
      <c r="P35">
        <v>0.97011899999999995</v>
      </c>
      <c r="Q35">
        <v>0.33257599999999998</v>
      </c>
      <c r="R35">
        <v>1.612304</v>
      </c>
      <c r="S35">
        <v>108127</v>
      </c>
      <c r="T35">
        <v>24301</v>
      </c>
      <c r="U35">
        <v>1182800</v>
      </c>
      <c r="V35">
        <v>1026592</v>
      </c>
      <c r="W35">
        <v>46402</v>
      </c>
      <c r="X35">
        <v>565777</v>
      </c>
      <c r="Y35">
        <v>2426</v>
      </c>
    </row>
    <row r="36" spans="1:25" x14ac:dyDescent="0.25">
      <c r="A36" t="s">
        <v>34</v>
      </c>
      <c r="B36">
        <v>1</v>
      </c>
      <c r="C36" s="2">
        <v>46169</v>
      </c>
      <c r="D36" s="3">
        <v>417.07</v>
      </c>
      <c r="E36" s="3">
        <v>420</v>
      </c>
      <c r="F36" s="3">
        <v>300</v>
      </c>
      <c r="G36" s="3">
        <v>82</v>
      </c>
      <c r="H36" s="3">
        <v>89851946.350000009</v>
      </c>
      <c r="I36" s="3">
        <v>13072865.530000001</v>
      </c>
      <c r="J36" s="3">
        <v>-41608184339.319984</v>
      </c>
      <c r="K36" s="3">
        <v>30783748345.099991</v>
      </c>
      <c r="L36">
        <v>0.56399999999999995</v>
      </c>
      <c r="M36">
        <v>0.34699999999999998</v>
      </c>
      <c r="N36">
        <v>0.66300000000000003</v>
      </c>
      <c r="O36">
        <v>67.9375</v>
      </c>
      <c r="P36">
        <v>0.39667200000000002</v>
      </c>
      <c r="Q36">
        <v>0.23294500000000001</v>
      </c>
      <c r="R36">
        <v>0.70370900000000003</v>
      </c>
      <c r="S36">
        <v>73690</v>
      </c>
      <c r="T36">
        <v>64648</v>
      </c>
      <c r="U36">
        <v>874589</v>
      </c>
      <c r="V36">
        <v>995090</v>
      </c>
      <c r="W36">
        <v>46191</v>
      </c>
      <c r="X36">
        <v>354404</v>
      </c>
      <c r="Y36">
        <v>10573</v>
      </c>
    </row>
    <row r="37" spans="1:25" x14ac:dyDescent="0.25">
      <c r="A37" t="s">
        <v>35</v>
      </c>
      <c r="B37">
        <v>3</v>
      </c>
      <c r="C37" s="2">
        <v>46169</v>
      </c>
      <c r="D37" s="3">
        <v>45.33</v>
      </c>
      <c r="E37" s="3">
        <v>8</v>
      </c>
      <c r="F37" s="3">
        <v>30</v>
      </c>
      <c r="G37" s="3">
        <v>20.5</v>
      </c>
      <c r="H37" s="3">
        <v>214586.14999999994</v>
      </c>
      <c r="I37" s="3">
        <v>237394.79</v>
      </c>
      <c r="J37" s="3">
        <v>-343322136.77999991</v>
      </c>
      <c r="K37" s="3">
        <v>449062305.18000007</v>
      </c>
      <c r="L37">
        <v>0.995</v>
      </c>
      <c r="M37">
        <v>0.80100000000000005</v>
      </c>
      <c r="N37">
        <v>1.4330000000000001</v>
      </c>
      <c r="O37">
        <v>32.4163</v>
      </c>
      <c r="P37">
        <v>1.1582330000000001</v>
      </c>
      <c r="Q37">
        <v>0.67335299999999998</v>
      </c>
      <c r="R37">
        <v>1.9190739999999999</v>
      </c>
      <c r="S37">
        <v>33281</v>
      </c>
      <c r="T37">
        <v>9915</v>
      </c>
      <c r="U37">
        <v>517753</v>
      </c>
      <c r="V37">
        <v>279857</v>
      </c>
      <c r="W37">
        <v>46402</v>
      </c>
      <c r="X37">
        <v>218997</v>
      </c>
      <c r="Y37">
        <v>1022</v>
      </c>
    </row>
    <row r="38" spans="1:25" x14ac:dyDescent="0.25">
      <c r="A38" t="s">
        <v>36</v>
      </c>
      <c r="B38">
        <v>3</v>
      </c>
      <c r="C38" s="2">
        <v>46169</v>
      </c>
      <c r="D38" s="3">
        <v>296</v>
      </c>
      <c r="E38" s="3">
        <v>260</v>
      </c>
      <c r="F38" s="3">
        <v>75</v>
      </c>
      <c r="G38" s="3">
        <v>23</v>
      </c>
      <c r="H38" s="3">
        <v>-7069939.2899999991</v>
      </c>
      <c r="I38" s="3">
        <v>33988.710000000014</v>
      </c>
      <c r="J38" s="3">
        <v>-2285176929.9200006</v>
      </c>
      <c r="K38" s="3">
        <v>7316303987.960001</v>
      </c>
      <c r="L38">
        <v>1.147</v>
      </c>
      <c r="M38">
        <v>0.65</v>
      </c>
      <c r="N38">
        <v>1.4530000000000001</v>
      </c>
      <c r="O38">
        <v>63.6023</v>
      </c>
      <c r="P38">
        <v>1.1578949999999999</v>
      </c>
      <c r="Q38">
        <v>0.53415299999999999</v>
      </c>
      <c r="R38">
        <v>1.3980760000000001</v>
      </c>
      <c r="S38">
        <v>12907</v>
      </c>
      <c r="T38">
        <v>19399</v>
      </c>
      <c r="U38">
        <v>351420</v>
      </c>
      <c r="V38">
        <v>441735</v>
      </c>
      <c r="W38">
        <v>46191</v>
      </c>
      <c r="X38">
        <v>226636</v>
      </c>
      <c r="Y38">
        <v>2100</v>
      </c>
    </row>
    <row r="39" spans="1:25" x14ac:dyDescent="0.25">
      <c r="A39" t="s">
        <v>37</v>
      </c>
      <c r="B39">
        <v>1</v>
      </c>
      <c r="C39" s="2">
        <v>46169</v>
      </c>
      <c r="D39" s="3">
        <v>57.31</v>
      </c>
      <c r="E39" s="3">
        <v>60</v>
      </c>
      <c r="F39" s="3">
        <v>45</v>
      </c>
      <c r="G39" s="3">
        <v>33</v>
      </c>
      <c r="H39" s="3">
        <v>-77448979.709999993</v>
      </c>
      <c r="I39" s="3">
        <v>2885058.4699999997</v>
      </c>
      <c r="J39" s="3">
        <v>-341303259.79000002</v>
      </c>
      <c r="K39" s="3">
        <v>1148199878.0799997</v>
      </c>
      <c r="L39">
        <v>0.28000000000000003</v>
      </c>
      <c r="M39">
        <v>0.17599999999999999</v>
      </c>
      <c r="N39">
        <v>0.34</v>
      </c>
      <c r="O39">
        <v>65.163700000000006</v>
      </c>
      <c r="P39">
        <v>0.29281099999999999</v>
      </c>
      <c r="Q39">
        <v>0.112399</v>
      </c>
      <c r="R39">
        <v>0.29281099999999999</v>
      </c>
      <c r="S39">
        <v>106742</v>
      </c>
      <c r="T39">
        <v>56529</v>
      </c>
      <c r="U39">
        <v>1864974</v>
      </c>
      <c r="V39">
        <v>3232842</v>
      </c>
      <c r="W39">
        <v>46191</v>
      </c>
      <c r="X39">
        <v>1551129</v>
      </c>
      <c r="Y39">
        <v>37954</v>
      </c>
    </row>
    <row r="40" spans="1:25" x14ac:dyDescent="0.25">
      <c r="A40" t="s">
        <v>38</v>
      </c>
      <c r="B40">
        <v>2</v>
      </c>
      <c r="C40" s="2">
        <v>46169</v>
      </c>
      <c r="D40" s="3">
        <v>142.44999999999999</v>
      </c>
      <c r="E40" s="3">
        <v>90</v>
      </c>
      <c r="F40" s="3">
        <v>60</v>
      </c>
      <c r="G40" s="3">
        <v>1</v>
      </c>
      <c r="H40" s="3">
        <v>22242145.759999998</v>
      </c>
      <c r="I40" s="3">
        <v>3820057.43</v>
      </c>
      <c r="J40" s="3">
        <v>-2359487837.8000002</v>
      </c>
      <c r="K40" s="3">
        <v>3437600725.2100015</v>
      </c>
      <c r="L40">
        <v>1.0549999999999999</v>
      </c>
      <c r="M40">
        <v>0.66700000000000004</v>
      </c>
      <c r="N40">
        <v>1.1359999999999999</v>
      </c>
      <c r="O40">
        <v>78.661000000000001</v>
      </c>
      <c r="P40">
        <v>1.305574</v>
      </c>
      <c r="Q40">
        <v>0.49542599999999998</v>
      </c>
      <c r="R40">
        <v>1.346719</v>
      </c>
      <c r="S40">
        <v>54054</v>
      </c>
      <c r="T40">
        <v>24846</v>
      </c>
      <c r="U40">
        <v>545195</v>
      </c>
      <c r="V40">
        <v>454431</v>
      </c>
      <c r="W40">
        <v>46402</v>
      </c>
      <c r="X40">
        <v>198699</v>
      </c>
      <c r="Y40">
        <v>1525</v>
      </c>
    </row>
    <row r="41" spans="1:25" x14ac:dyDescent="0.25">
      <c r="A41" t="s">
        <v>39</v>
      </c>
      <c r="B41">
        <v>2</v>
      </c>
      <c r="C41" s="2">
        <v>46169</v>
      </c>
      <c r="D41" s="3">
        <v>26.094999999999999</v>
      </c>
      <c r="E41" s="3">
        <v>30</v>
      </c>
      <c r="F41" s="3">
        <v>15</v>
      </c>
      <c r="G41" s="3">
        <v>10.5</v>
      </c>
      <c r="H41" s="3">
        <v>8299732.9500000011</v>
      </c>
      <c r="I41" s="3">
        <v>917742.75</v>
      </c>
      <c r="J41" s="3">
        <v>-644404633.66000009</v>
      </c>
      <c r="K41" s="3">
        <v>170929213.97999999</v>
      </c>
      <c r="L41">
        <v>0.86799999999999999</v>
      </c>
      <c r="M41">
        <v>0.66600000000000004</v>
      </c>
      <c r="N41">
        <v>1.1220000000000001</v>
      </c>
      <c r="O41">
        <v>48.433</v>
      </c>
      <c r="P41">
        <v>0.87379300000000004</v>
      </c>
      <c r="Q41">
        <v>0.52294700000000005</v>
      </c>
      <c r="R41">
        <v>1.2444189999999999</v>
      </c>
      <c r="S41">
        <v>11327</v>
      </c>
      <c r="T41">
        <v>8849</v>
      </c>
      <c r="U41">
        <v>536789</v>
      </c>
      <c r="V41">
        <v>266685</v>
      </c>
      <c r="W41">
        <v>46191</v>
      </c>
      <c r="X41">
        <v>278043</v>
      </c>
      <c r="Y41">
        <v>3255</v>
      </c>
    </row>
    <row r="42" spans="1:25" x14ac:dyDescent="0.25">
      <c r="A42" t="s">
        <v>40</v>
      </c>
      <c r="B42">
        <v>2</v>
      </c>
      <c r="C42" s="2">
        <v>46169</v>
      </c>
      <c r="D42" s="3"/>
      <c r="E42" s="3">
        <v>300</v>
      </c>
      <c r="F42" s="3">
        <v>200</v>
      </c>
      <c r="G42" s="3">
        <v>15</v>
      </c>
      <c r="H42" s="3">
        <v>-17053993.989999995</v>
      </c>
      <c r="I42" s="3">
        <v>1736329.8800000006</v>
      </c>
      <c r="J42" s="3">
        <v>-4877021210.3800011</v>
      </c>
      <c r="K42" s="3">
        <v>-863059945.43999994</v>
      </c>
      <c r="L42">
        <v>0.66</v>
      </c>
      <c r="M42">
        <v>0.47699999999999998</v>
      </c>
      <c r="N42">
        <v>0.95699999999999996</v>
      </c>
      <c r="O42">
        <v>37.589199999999998</v>
      </c>
      <c r="P42">
        <v>0.65286299999999997</v>
      </c>
      <c r="Q42">
        <v>0.380583</v>
      </c>
      <c r="R42">
        <v>1.228315</v>
      </c>
      <c r="S42">
        <v>54115</v>
      </c>
      <c r="T42">
        <v>18435</v>
      </c>
      <c r="U42">
        <v>606112</v>
      </c>
      <c r="V42">
        <v>473107</v>
      </c>
      <c r="W42">
        <v>46191</v>
      </c>
      <c r="X42">
        <v>239013</v>
      </c>
      <c r="Y42">
        <v>5361</v>
      </c>
    </row>
    <row r="43" spans="1:25" x14ac:dyDescent="0.25">
      <c r="A43" t="s">
        <v>41</v>
      </c>
      <c r="B43">
        <v>2</v>
      </c>
      <c r="C43" s="2">
        <v>46169</v>
      </c>
      <c r="D43" s="3">
        <v>155.42500000000001</v>
      </c>
      <c r="E43" s="3">
        <v>180</v>
      </c>
      <c r="F43" s="3">
        <v>5</v>
      </c>
      <c r="G43" s="3">
        <v>6</v>
      </c>
      <c r="H43" s="3">
        <v>-1162895.6600000001</v>
      </c>
      <c r="I43" s="3">
        <v>-347359.91000000009</v>
      </c>
      <c r="J43" s="3">
        <v>107932028.17000002</v>
      </c>
      <c r="K43" s="3">
        <v>544522179.41999996</v>
      </c>
      <c r="L43">
        <v>0.63700000000000001</v>
      </c>
      <c r="M43">
        <v>0.436</v>
      </c>
      <c r="N43">
        <v>1.264</v>
      </c>
      <c r="O43">
        <v>24.088999999999999</v>
      </c>
      <c r="P43">
        <v>0.62953999999999999</v>
      </c>
      <c r="Q43">
        <v>0.32463900000000001</v>
      </c>
      <c r="R43">
        <v>1.310859</v>
      </c>
      <c r="S43">
        <v>84915</v>
      </c>
      <c r="T43">
        <v>63000</v>
      </c>
      <c r="U43">
        <v>1298898</v>
      </c>
      <c r="V43">
        <v>1201838</v>
      </c>
      <c r="W43">
        <v>46191</v>
      </c>
      <c r="X43">
        <v>708652</v>
      </c>
      <c r="Y43">
        <v>16241</v>
      </c>
    </row>
    <row r="44" spans="1:25" x14ac:dyDescent="0.25">
      <c r="A44" t="s">
        <v>42</v>
      </c>
      <c r="B44">
        <v>2</v>
      </c>
      <c r="C44" s="2">
        <v>46169</v>
      </c>
      <c r="D44" s="3">
        <v>177.08</v>
      </c>
      <c r="E44" s="3">
        <v>200</v>
      </c>
      <c r="F44" s="3">
        <v>140</v>
      </c>
      <c r="G44" s="3">
        <v>104</v>
      </c>
      <c r="H44" s="3">
        <v>-7740453.5899999999</v>
      </c>
      <c r="I44" s="3">
        <v>-546884.53999999992</v>
      </c>
      <c r="J44" s="3">
        <v>-337986607.29000008</v>
      </c>
      <c r="K44" s="3">
        <v>176200354.75</v>
      </c>
      <c r="L44">
        <v>0.82699999999999996</v>
      </c>
      <c r="M44">
        <v>0.30399999999999999</v>
      </c>
      <c r="N44">
        <v>0.875</v>
      </c>
      <c r="O44">
        <v>89.322900000000004</v>
      </c>
      <c r="P44">
        <v>0.47930299999999998</v>
      </c>
      <c r="Q44">
        <v>0.195775</v>
      </c>
      <c r="R44">
        <v>0.871147</v>
      </c>
      <c r="S44">
        <v>43355</v>
      </c>
      <c r="T44">
        <v>10635</v>
      </c>
      <c r="U44">
        <v>327227</v>
      </c>
      <c r="V44">
        <v>258680</v>
      </c>
      <c r="W44">
        <v>46191</v>
      </c>
      <c r="X44">
        <v>120451</v>
      </c>
      <c r="Y44">
        <v>9775</v>
      </c>
    </row>
    <row r="45" spans="1:25" x14ac:dyDescent="0.25">
      <c r="A45" t="s">
        <v>43</v>
      </c>
      <c r="B45">
        <v>2</v>
      </c>
      <c r="C45" s="2">
        <v>46169</v>
      </c>
      <c r="D45" s="3">
        <v>1086.4100000000001</v>
      </c>
      <c r="E45" s="3">
        <v>1100</v>
      </c>
      <c r="F45" s="3">
        <v>800</v>
      </c>
      <c r="G45" s="3">
        <v>350</v>
      </c>
      <c r="H45" s="3">
        <v>-11497009.920000002</v>
      </c>
      <c r="I45" s="3">
        <v>3399129.7</v>
      </c>
      <c r="J45" s="3">
        <v>-3306470965.6399994</v>
      </c>
      <c r="K45" s="3">
        <v>11368095196.709999</v>
      </c>
      <c r="L45">
        <v>0.33800000000000002</v>
      </c>
      <c r="M45">
        <v>0.26700000000000002</v>
      </c>
      <c r="N45">
        <v>0.48</v>
      </c>
      <c r="O45">
        <v>28.632999999999999</v>
      </c>
      <c r="P45">
        <v>0.41810599999999998</v>
      </c>
      <c r="Q45">
        <v>0.19935900000000001</v>
      </c>
      <c r="R45">
        <v>0.67494200000000004</v>
      </c>
      <c r="S45">
        <v>21631</v>
      </c>
      <c r="T45">
        <v>7178</v>
      </c>
      <c r="U45">
        <v>157255</v>
      </c>
      <c r="V45">
        <v>179390</v>
      </c>
      <c r="W45">
        <v>46191</v>
      </c>
      <c r="X45">
        <v>85955</v>
      </c>
      <c r="Y45">
        <v>3700</v>
      </c>
    </row>
    <row r="46" spans="1:25" x14ac:dyDescent="0.25">
      <c r="A46" t="s">
        <v>44</v>
      </c>
      <c r="B46">
        <v>2</v>
      </c>
      <c r="C46" s="2">
        <v>46169</v>
      </c>
      <c r="D46" s="3">
        <v>232.54</v>
      </c>
      <c r="E46" s="3">
        <v>230</v>
      </c>
      <c r="F46" s="3">
        <v>210</v>
      </c>
      <c r="G46" s="3">
        <v>265</v>
      </c>
      <c r="H46" s="3">
        <v>43850424.650000006</v>
      </c>
      <c r="I46" s="3">
        <v>2463670.8200000003</v>
      </c>
      <c r="J46" s="3">
        <v>-1364875412.3699999</v>
      </c>
      <c r="K46" s="3">
        <v>3199010511.2699995</v>
      </c>
      <c r="L46">
        <v>0.218</v>
      </c>
      <c r="M46">
        <v>0.123</v>
      </c>
      <c r="N46">
        <v>0.29299999999999998</v>
      </c>
      <c r="O46">
        <v>60.3001</v>
      </c>
      <c r="P46">
        <v>0.18310899999999999</v>
      </c>
      <c r="Q46">
        <v>9.6906000000000006E-2</v>
      </c>
      <c r="R46">
        <v>0.26283200000000001</v>
      </c>
      <c r="S46">
        <v>3804</v>
      </c>
      <c r="T46">
        <v>2915</v>
      </c>
      <c r="U46">
        <v>180815</v>
      </c>
      <c r="V46">
        <v>159748</v>
      </c>
      <c r="W46">
        <v>46191</v>
      </c>
      <c r="X46">
        <v>80172</v>
      </c>
      <c r="Y46">
        <v>1821</v>
      </c>
    </row>
    <row r="47" spans="1:25" x14ac:dyDescent="0.25">
      <c r="A47" t="s">
        <v>45</v>
      </c>
      <c r="B47">
        <v>2</v>
      </c>
      <c r="C47" s="2">
        <v>46169</v>
      </c>
      <c r="D47" s="3">
        <v>382.91</v>
      </c>
      <c r="E47" s="3">
        <v>400</v>
      </c>
      <c r="F47" s="3">
        <v>200</v>
      </c>
      <c r="G47" s="3">
        <v>205</v>
      </c>
      <c r="H47" s="3">
        <v>-15923450.619999992</v>
      </c>
      <c r="I47" s="3">
        <v>2319107.9700000002</v>
      </c>
      <c r="J47" s="3">
        <v>-2046288530.2799997</v>
      </c>
      <c r="K47" s="3">
        <v>22426325305.989998</v>
      </c>
      <c r="L47">
        <v>0.27800000000000002</v>
      </c>
      <c r="M47">
        <v>0.246</v>
      </c>
      <c r="N47">
        <v>0.54500000000000004</v>
      </c>
      <c r="O47">
        <v>10.4095</v>
      </c>
      <c r="P47">
        <v>0.261322</v>
      </c>
      <c r="Q47">
        <v>0.205176</v>
      </c>
      <c r="R47">
        <v>0.913601</v>
      </c>
      <c r="S47">
        <v>19243</v>
      </c>
      <c r="T47">
        <v>7673</v>
      </c>
      <c r="U47">
        <v>725452</v>
      </c>
      <c r="V47">
        <v>486068</v>
      </c>
      <c r="W47">
        <v>46191</v>
      </c>
      <c r="X47">
        <v>310134</v>
      </c>
      <c r="Y47">
        <v>3987</v>
      </c>
    </row>
    <row r="48" spans="1:25" x14ac:dyDescent="0.25">
      <c r="A48" t="s">
        <v>46</v>
      </c>
      <c r="B48">
        <v>2</v>
      </c>
      <c r="C48" s="2">
        <v>46169</v>
      </c>
      <c r="D48" s="3">
        <v>130.27500000000001</v>
      </c>
      <c r="E48" s="3">
        <v>130</v>
      </c>
      <c r="F48" s="3">
        <v>100</v>
      </c>
      <c r="G48" s="3">
        <v>98</v>
      </c>
      <c r="H48" s="3">
        <v>25604001.48</v>
      </c>
      <c r="I48" s="3">
        <v>1150570.7500000002</v>
      </c>
      <c r="J48" s="3">
        <v>-531705618.13999999</v>
      </c>
      <c r="K48" s="3">
        <v>1912698183.5599999</v>
      </c>
      <c r="L48">
        <v>0.32600000000000001</v>
      </c>
      <c r="M48">
        <v>0.28399999999999997</v>
      </c>
      <c r="N48">
        <v>0.53500000000000003</v>
      </c>
      <c r="O48">
        <v>13.200900000000001</v>
      </c>
      <c r="P48">
        <v>0.38358900000000001</v>
      </c>
      <c r="Q48">
        <v>0.16780300000000001</v>
      </c>
      <c r="R48">
        <v>0.40759499999999999</v>
      </c>
      <c r="S48">
        <v>11467</v>
      </c>
      <c r="T48">
        <v>5252</v>
      </c>
      <c r="U48">
        <v>283060</v>
      </c>
      <c r="V48">
        <v>232223</v>
      </c>
      <c r="W48">
        <v>46402</v>
      </c>
      <c r="X48">
        <v>121281</v>
      </c>
      <c r="Y48">
        <v>297</v>
      </c>
    </row>
    <row r="49" spans="1:25" x14ac:dyDescent="0.25">
      <c r="A49" t="s">
        <v>47</v>
      </c>
      <c r="B49">
        <v>2</v>
      </c>
      <c r="C49" s="2">
        <v>46169</v>
      </c>
      <c r="D49" s="3">
        <v>318.59500000000003</v>
      </c>
      <c r="E49" s="3">
        <v>360</v>
      </c>
      <c r="F49" s="3">
        <v>300</v>
      </c>
      <c r="G49" s="3">
        <v>155</v>
      </c>
      <c r="H49" s="3">
        <v>15373474.170000002</v>
      </c>
      <c r="I49" s="3">
        <v>795322.60000000009</v>
      </c>
      <c r="J49" s="3">
        <v>-851978838.80999994</v>
      </c>
      <c r="K49" s="3">
        <v>379400941.08999991</v>
      </c>
      <c r="L49">
        <v>0.314</v>
      </c>
      <c r="M49">
        <v>0.17499999999999999</v>
      </c>
      <c r="N49">
        <v>0.35299999999999998</v>
      </c>
      <c r="O49">
        <v>81.414500000000004</v>
      </c>
      <c r="P49">
        <v>0.28188099999999999</v>
      </c>
      <c r="Q49">
        <v>9.7514000000000003E-2</v>
      </c>
      <c r="R49">
        <v>0.34395900000000001</v>
      </c>
      <c r="S49">
        <v>17617</v>
      </c>
      <c r="T49">
        <v>3017</v>
      </c>
      <c r="U49">
        <v>166864</v>
      </c>
      <c r="V49">
        <v>118022</v>
      </c>
      <c r="W49">
        <v>46191</v>
      </c>
      <c r="X49">
        <v>74924</v>
      </c>
      <c r="Y49">
        <v>3681</v>
      </c>
    </row>
    <row r="50" spans="1:25" x14ac:dyDescent="0.25">
      <c r="A50" t="s">
        <v>48</v>
      </c>
      <c r="B50">
        <v>2</v>
      </c>
      <c r="C50" s="2">
        <v>46169</v>
      </c>
      <c r="D50" s="3">
        <v>1007.36</v>
      </c>
      <c r="E50" s="3">
        <v>1100</v>
      </c>
      <c r="F50" s="3">
        <v>1000</v>
      </c>
      <c r="G50" s="3">
        <v>460</v>
      </c>
      <c r="H50" s="3">
        <v>-10839529.419999996</v>
      </c>
      <c r="I50" s="3">
        <v>3078119.09</v>
      </c>
      <c r="J50" s="3">
        <v>-5127361183.6500015</v>
      </c>
      <c r="K50" s="3">
        <v>5011321221.3299999</v>
      </c>
      <c r="L50">
        <v>0.26400000000000001</v>
      </c>
      <c r="M50">
        <v>0.17299999999999999</v>
      </c>
      <c r="N50">
        <v>0.29799999999999999</v>
      </c>
      <c r="O50">
        <v>68.650800000000004</v>
      </c>
      <c r="P50">
        <v>0.243115</v>
      </c>
      <c r="Q50">
        <v>0.104446</v>
      </c>
      <c r="R50">
        <v>0.24760799999999999</v>
      </c>
      <c r="S50">
        <v>9145</v>
      </c>
      <c r="T50">
        <v>10739</v>
      </c>
      <c r="U50">
        <v>114682</v>
      </c>
      <c r="V50">
        <v>143603</v>
      </c>
      <c r="W50">
        <v>46191</v>
      </c>
      <c r="X50">
        <v>56935</v>
      </c>
      <c r="Y50">
        <v>1831</v>
      </c>
    </row>
    <row r="51" spans="1:25" x14ac:dyDescent="0.25">
      <c r="A51" t="s">
        <v>49</v>
      </c>
      <c r="B51">
        <v>2</v>
      </c>
      <c r="C51" s="2">
        <v>46169</v>
      </c>
      <c r="D51" s="3">
        <v>118.8</v>
      </c>
      <c r="E51" s="3">
        <v>130</v>
      </c>
      <c r="F51" s="3">
        <v>110</v>
      </c>
      <c r="G51" s="3">
        <v>106</v>
      </c>
      <c r="H51" s="3">
        <v>-37395903.199999988</v>
      </c>
      <c r="I51" s="3">
        <v>4429084.3399999989</v>
      </c>
      <c r="J51" s="3">
        <v>-3020475179.0500007</v>
      </c>
      <c r="K51" s="3">
        <v>399335901.60999972</v>
      </c>
      <c r="L51">
        <v>0.245</v>
      </c>
      <c r="M51">
        <v>0.18</v>
      </c>
      <c r="N51">
        <v>0.36899999999999999</v>
      </c>
      <c r="O51">
        <v>32.922600000000003</v>
      </c>
      <c r="P51">
        <v>0.33351999999999998</v>
      </c>
      <c r="Q51">
        <v>9.0486999999999998E-2</v>
      </c>
      <c r="R51">
        <v>0.34728700000000001</v>
      </c>
      <c r="S51">
        <v>38894</v>
      </c>
      <c r="T51">
        <v>18476</v>
      </c>
      <c r="U51">
        <v>515781</v>
      </c>
      <c r="V51">
        <v>492579</v>
      </c>
      <c r="W51">
        <v>46191</v>
      </c>
      <c r="X51">
        <v>266633</v>
      </c>
      <c r="Y51">
        <v>7835</v>
      </c>
    </row>
    <row r="52" spans="1:25" x14ac:dyDescent="0.25">
      <c r="A52" t="s">
        <v>50</v>
      </c>
      <c r="B52">
        <v>1</v>
      </c>
      <c r="C52" s="2">
        <v>46169</v>
      </c>
      <c r="D52" s="3">
        <v>199.78</v>
      </c>
      <c r="E52" s="3">
        <v>200</v>
      </c>
      <c r="F52" s="3">
        <v>160</v>
      </c>
      <c r="G52" s="3">
        <v>222.5</v>
      </c>
      <c r="H52" s="3">
        <v>33038080.40000001</v>
      </c>
      <c r="I52" s="3">
        <v>1707802.13</v>
      </c>
      <c r="J52" s="3">
        <v>-945039246.05000007</v>
      </c>
      <c r="K52" s="3">
        <v>2983793871.2800002</v>
      </c>
      <c r="L52">
        <v>0.29199999999999998</v>
      </c>
      <c r="M52">
        <v>0.21199999999999999</v>
      </c>
      <c r="N52">
        <v>0.44600000000000001</v>
      </c>
      <c r="O52">
        <v>34.5595</v>
      </c>
      <c r="P52">
        <v>0.235792</v>
      </c>
      <c r="Q52">
        <v>0.14224100000000001</v>
      </c>
      <c r="R52">
        <v>0.42757099999999998</v>
      </c>
      <c r="S52">
        <v>2794</v>
      </c>
      <c r="T52">
        <v>1509</v>
      </c>
      <c r="U52">
        <v>156728</v>
      </c>
      <c r="V52">
        <v>226073</v>
      </c>
      <c r="W52">
        <v>46191</v>
      </c>
      <c r="X52">
        <v>102965</v>
      </c>
      <c r="Y52">
        <v>841</v>
      </c>
    </row>
    <row r="53" spans="1:25" x14ac:dyDescent="0.25">
      <c r="A53" t="s">
        <v>51</v>
      </c>
      <c r="B53">
        <v>1</v>
      </c>
      <c r="C53" s="2">
        <v>46169</v>
      </c>
      <c r="D53" s="3">
        <v>987.47</v>
      </c>
      <c r="E53" s="3">
        <v>1000</v>
      </c>
      <c r="F53" s="3">
        <v>800</v>
      </c>
      <c r="G53" s="3">
        <v>220</v>
      </c>
      <c r="H53" s="3">
        <v>-1413982.81</v>
      </c>
      <c r="I53" s="3">
        <v>214096.01000000004</v>
      </c>
      <c r="J53" s="3">
        <v>-60832726.449999988</v>
      </c>
      <c r="K53" s="3">
        <v>2242176756.4900007</v>
      </c>
      <c r="L53">
        <v>0.307</v>
      </c>
      <c r="M53">
        <v>0.224</v>
      </c>
      <c r="N53">
        <v>0.45800000000000002</v>
      </c>
      <c r="O53">
        <v>36.006799999999998</v>
      </c>
      <c r="P53">
        <v>0.29401300000000002</v>
      </c>
      <c r="Q53">
        <v>0.16466</v>
      </c>
      <c r="R53">
        <v>0.43199199999999999</v>
      </c>
      <c r="S53">
        <v>7268</v>
      </c>
      <c r="T53">
        <v>10960</v>
      </c>
      <c r="U53">
        <v>200365</v>
      </c>
      <c r="V53">
        <v>186062</v>
      </c>
      <c r="W53">
        <v>46191</v>
      </c>
      <c r="X53">
        <v>68013</v>
      </c>
      <c r="Y53">
        <v>4432</v>
      </c>
    </row>
    <row r="54" spans="1:25" x14ac:dyDescent="0.25">
      <c r="A54" t="s">
        <v>52</v>
      </c>
      <c r="B54">
        <v>1</v>
      </c>
      <c r="C54" s="2">
        <v>46169</v>
      </c>
      <c r="D54" s="3">
        <v>297.31</v>
      </c>
      <c r="E54" s="3">
        <v>320</v>
      </c>
      <c r="F54" s="3">
        <v>280</v>
      </c>
      <c r="G54" s="3">
        <v>140</v>
      </c>
      <c r="H54" s="3">
        <v>-135454063.05000001</v>
      </c>
      <c r="I54" s="3">
        <v>4812416.8999999985</v>
      </c>
      <c r="J54" s="3">
        <v>-1500024199.1099992</v>
      </c>
      <c r="K54" s="3">
        <v>-990251317.98000026</v>
      </c>
      <c r="L54">
        <v>0.24099999999999999</v>
      </c>
      <c r="M54">
        <v>0.18</v>
      </c>
      <c r="N54">
        <v>0.36499999999999999</v>
      </c>
      <c r="O54">
        <v>42.684899999999999</v>
      </c>
      <c r="P54">
        <v>0.22826099999999999</v>
      </c>
      <c r="Q54">
        <v>0.11830599999999999</v>
      </c>
      <c r="R54">
        <v>0.30803199999999997</v>
      </c>
      <c r="S54">
        <v>25352</v>
      </c>
      <c r="T54">
        <v>20493</v>
      </c>
      <c r="U54">
        <v>322120</v>
      </c>
      <c r="V54">
        <v>367230</v>
      </c>
      <c r="W54">
        <v>46191</v>
      </c>
      <c r="X54">
        <v>192295</v>
      </c>
      <c r="Y54">
        <v>4966</v>
      </c>
    </row>
    <row r="55" spans="1:25" x14ac:dyDescent="0.25">
      <c r="A55" t="s">
        <v>53</v>
      </c>
      <c r="B55">
        <v>1</v>
      </c>
      <c r="C55" s="2">
        <v>46169</v>
      </c>
      <c r="D55" s="3">
        <v>51.155000000000001</v>
      </c>
      <c r="E55" s="3">
        <v>55</v>
      </c>
      <c r="F55" s="3">
        <v>47</v>
      </c>
      <c r="G55" s="3">
        <v>66</v>
      </c>
      <c r="H55" s="3">
        <v>17972691.940000001</v>
      </c>
      <c r="I55" s="3">
        <v>5716281.870000001</v>
      </c>
      <c r="J55" s="3">
        <v>-2702596718.3399997</v>
      </c>
      <c r="K55" s="3">
        <v>417860584.73000008</v>
      </c>
      <c r="L55">
        <v>0.27500000000000002</v>
      </c>
      <c r="M55">
        <v>0.19800000000000001</v>
      </c>
      <c r="N55">
        <v>0.38600000000000001</v>
      </c>
      <c r="O55">
        <v>36.929499999999997</v>
      </c>
      <c r="P55">
        <v>0.21750700000000001</v>
      </c>
      <c r="Q55">
        <v>0.13091700000000001</v>
      </c>
      <c r="R55">
        <v>0.33336300000000002</v>
      </c>
      <c r="S55">
        <v>55210</v>
      </c>
      <c r="T55">
        <v>48070</v>
      </c>
      <c r="U55">
        <v>1117419</v>
      </c>
      <c r="V55">
        <v>1363241</v>
      </c>
      <c r="W55">
        <v>46191</v>
      </c>
      <c r="X55">
        <v>760599</v>
      </c>
      <c r="Y55">
        <v>23224</v>
      </c>
    </row>
    <row r="56" spans="1:25" x14ac:dyDescent="0.25">
      <c r="A56" t="s">
        <v>54</v>
      </c>
      <c r="B56">
        <v>2</v>
      </c>
      <c r="C56" s="2">
        <v>46169</v>
      </c>
      <c r="D56" s="3">
        <v>85.77</v>
      </c>
      <c r="E56" s="3">
        <v>95</v>
      </c>
      <c r="F56" s="3">
        <v>85</v>
      </c>
      <c r="G56" s="3">
        <v>104</v>
      </c>
      <c r="H56" s="3">
        <v>-21847556.410000011</v>
      </c>
      <c r="I56" s="3">
        <v>1094672.2999999998</v>
      </c>
      <c r="J56" s="3">
        <v>-612908145.58000004</v>
      </c>
      <c r="K56" s="3">
        <v>-368586463.9600001</v>
      </c>
      <c r="L56">
        <v>0.28799999999999998</v>
      </c>
      <c r="M56">
        <v>0.193</v>
      </c>
      <c r="N56">
        <v>0.38</v>
      </c>
      <c r="O56">
        <v>56.464399999999998</v>
      </c>
      <c r="P56">
        <v>0.25567099999999998</v>
      </c>
      <c r="Q56">
        <v>0.114786</v>
      </c>
      <c r="R56">
        <v>0.39500800000000003</v>
      </c>
      <c r="S56">
        <v>9813</v>
      </c>
      <c r="T56">
        <v>11460</v>
      </c>
      <c r="U56">
        <v>207950</v>
      </c>
      <c r="V56">
        <v>227205</v>
      </c>
      <c r="W56">
        <v>46191</v>
      </c>
      <c r="X56">
        <v>134670</v>
      </c>
      <c r="Y56">
        <v>5154</v>
      </c>
    </row>
    <row r="57" spans="1:25" x14ac:dyDescent="0.25">
      <c r="A57" t="s">
        <v>55</v>
      </c>
      <c r="B57">
        <v>2</v>
      </c>
      <c r="C57" s="2">
        <v>46169</v>
      </c>
      <c r="D57" s="3">
        <v>16.385000000000002</v>
      </c>
      <c r="E57" s="3">
        <v>20</v>
      </c>
      <c r="F57" s="3">
        <v>15</v>
      </c>
      <c r="G57" s="3">
        <v>4</v>
      </c>
      <c r="H57" s="3">
        <v>18810526.220000006</v>
      </c>
      <c r="I57" s="3">
        <v>4024869.7499999995</v>
      </c>
      <c r="J57" s="3">
        <v>-2427467459.4800005</v>
      </c>
      <c r="K57" s="3">
        <v>114256402.92999999</v>
      </c>
      <c r="L57">
        <v>0.54600000000000004</v>
      </c>
      <c r="M57">
        <v>0.46500000000000002</v>
      </c>
      <c r="N57">
        <v>0.88700000000000001</v>
      </c>
      <c r="O57">
        <v>19.878799999999998</v>
      </c>
      <c r="P57">
        <v>0.70483600000000002</v>
      </c>
      <c r="Q57">
        <v>0.34528399999999998</v>
      </c>
      <c r="R57">
        <v>0.88773000000000002</v>
      </c>
      <c r="S57">
        <v>179065</v>
      </c>
      <c r="T57">
        <v>51785</v>
      </c>
      <c r="U57">
        <v>2882579</v>
      </c>
      <c r="V57">
        <v>1463305</v>
      </c>
      <c r="W57">
        <v>46191</v>
      </c>
      <c r="X57">
        <v>825762</v>
      </c>
      <c r="Y57">
        <v>25646</v>
      </c>
    </row>
    <row r="58" spans="1:25" x14ac:dyDescent="0.25">
      <c r="A58" t="s">
        <v>56</v>
      </c>
      <c r="B58">
        <v>1</v>
      </c>
      <c r="C58" s="2">
        <v>46169</v>
      </c>
      <c r="D58" s="3">
        <v>75.805000000000007</v>
      </c>
      <c r="E58" s="3">
        <v>90</v>
      </c>
      <c r="F58" s="3">
        <v>70</v>
      </c>
      <c r="G58" s="3">
        <v>91</v>
      </c>
      <c r="H58" s="3">
        <v>-33965329.339999989</v>
      </c>
      <c r="I58" s="3">
        <v>2908080.4399999995</v>
      </c>
      <c r="J58" s="3">
        <v>-3196468481.8499994</v>
      </c>
      <c r="K58" s="3">
        <v>-351932866.30999994</v>
      </c>
      <c r="L58">
        <v>0.30599999999999999</v>
      </c>
      <c r="M58">
        <v>0.21099999999999999</v>
      </c>
      <c r="N58">
        <v>0.433</v>
      </c>
      <c r="O58">
        <v>39.264899999999997</v>
      </c>
      <c r="P58">
        <v>0.28493499999999999</v>
      </c>
      <c r="Q58">
        <v>0.15309900000000001</v>
      </c>
      <c r="R58">
        <v>0.37271399999999999</v>
      </c>
      <c r="S58">
        <v>14708</v>
      </c>
      <c r="T58">
        <v>14626</v>
      </c>
      <c r="U58">
        <v>475508</v>
      </c>
      <c r="V58">
        <v>664819</v>
      </c>
      <c r="W58">
        <v>46191</v>
      </c>
      <c r="X58">
        <v>333883</v>
      </c>
      <c r="Y58">
        <v>2426</v>
      </c>
    </row>
    <row r="59" spans="1:25" x14ac:dyDescent="0.25">
      <c r="A59" t="s">
        <v>57</v>
      </c>
      <c r="B59">
        <v>2</v>
      </c>
      <c r="C59" s="2">
        <v>46169</v>
      </c>
      <c r="D59" s="3">
        <v>14.69</v>
      </c>
      <c r="E59" s="3">
        <v>20</v>
      </c>
      <c r="F59" s="3">
        <v>5</v>
      </c>
      <c r="G59" s="3">
        <v>6</v>
      </c>
      <c r="H59" s="3">
        <v>6893180.2299999986</v>
      </c>
      <c r="I59" s="3">
        <v>1889113.83</v>
      </c>
      <c r="J59" s="3">
        <v>-691525352.38999999</v>
      </c>
      <c r="K59" s="3">
        <v>37333476.200000003</v>
      </c>
      <c r="L59">
        <v>0.57999999999999996</v>
      </c>
      <c r="M59">
        <v>0.47</v>
      </c>
      <c r="N59">
        <v>0.876</v>
      </c>
      <c r="O59">
        <v>31.921500000000002</v>
      </c>
      <c r="P59">
        <v>0.52498100000000003</v>
      </c>
      <c r="Q59">
        <v>0.32788699999999998</v>
      </c>
      <c r="R59">
        <v>1.016713</v>
      </c>
      <c r="S59">
        <v>33845</v>
      </c>
      <c r="T59">
        <v>8943</v>
      </c>
      <c r="U59">
        <v>1298062</v>
      </c>
      <c r="V59">
        <v>1090698</v>
      </c>
      <c r="W59">
        <v>46191</v>
      </c>
      <c r="X59">
        <v>476530</v>
      </c>
      <c r="Y59">
        <v>5650</v>
      </c>
    </row>
    <row r="60" spans="1:25" x14ac:dyDescent="0.25">
      <c r="A60" t="s">
        <v>58</v>
      </c>
      <c r="B60">
        <v>1</v>
      </c>
      <c r="C60" s="2">
        <v>46169</v>
      </c>
      <c r="D60" s="3">
        <v>51.465000000000003</v>
      </c>
      <c r="E60" s="3">
        <v>55</v>
      </c>
      <c r="F60" s="3">
        <v>50</v>
      </c>
      <c r="G60" s="3">
        <v>24</v>
      </c>
      <c r="H60" s="3">
        <v>-281656665.07000005</v>
      </c>
      <c r="I60" s="3">
        <v>15819698.380000001</v>
      </c>
      <c r="J60" s="3">
        <v>-3840467710.4599991</v>
      </c>
      <c r="K60" s="3">
        <v>-1027713638.0900002</v>
      </c>
      <c r="L60">
        <v>0.17399999999999999</v>
      </c>
      <c r="M60">
        <v>0.126</v>
      </c>
      <c r="N60">
        <v>0.28599999999999998</v>
      </c>
      <c r="O60">
        <v>31.329699999999999</v>
      </c>
      <c r="P60">
        <v>0.10798199999999999</v>
      </c>
      <c r="Q60">
        <v>8.5844000000000004E-2</v>
      </c>
      <c r="R60">
        <v>0.221192</v>
      </c>
      <c r="S60">
        <v>33258</v>
      </c>
      <c r="T60">
        <v>21369</v>
      </c>
      <c r="U60">
        <v>2438608</v>
      </c>
      <c r="V60">
        <v>3836269</v>
      </c>
      <c r="W60">
        <v>46191</v>
      </c>
      <c r="X60">
        <v>1986449</v>
      </c>
      <c r="Y60">
        <v>24238</v>
      </c>
    </row>
    <row r="61" spans="1:25" x14ac:dyDescent="0.25">
      <c r="A61" t="s">
        <v>59</v>
      </c>
      <c r="B61">
        <v>1</v>
      </c>
      <c r="C61" s="2">
        <v>46169</v>
      </c>
      <c r="D61" s="3">
        <v>182.91</v>
      </c>
      <c r="E61" s="3">
        <v>150</v>
      </c>
      <c r="F61" s="3">
        <v>45</v>
      </c>
      <c r="G61" s="3">
        <v>52.5</v>
      </c>
      <c r="H61" s="3">
        <v>-4422504.6099999994</v>
      </c>
      <c r="I61" s="3">
        <v>807922.8600000001</v>
      </c>
      <c r="J61" s="3">
        <v>-284333514.74000007</v>
      </c>
      <c r="K61" s="3">
        <v>693637505.21000004</v>
      </c>
      <c r="L61">
        <v>0.27400000000000002</v>
      </c>
      <c r="M61">
        <v>0.17199999999999999</v>
      </c>
      <c r="N61">
        <v>0.35299999999999998</v>
      </c>
      <c r="O61">
        <v>53.409100000000002</v>
      </c>
      <c r="P61">
        <v>0.242896</v>
      </c>
      <c r="Q61">
        <v>0.10033</v>
      </c>
      <c r="R61">
        <v>0.28273599999999999</v>
      </c>
      <c r="S61">
        <v>3416</v>
      </c>
      <c r="T61">
        <v>2381</v>
      </c>
      <c r="U61">
        <v>260922</v>
      </c>
      <c r="V61">
        <v>505959</v>
      </c>
      <c r="W61">
        <v>46191</v>
      </c>
      <c r="X61">
        <v>234391</v>
      </c>
      <c r="Y61">
        <v>840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82E77-6BF9-466F-93A2-DABE8B79C402}">
  <dimension ref="A1:W61"/>
  <sheetViews>
    <sheetView topLeftCell="J43" workbookViewId="0">
      <selection activeCell="W12" sqref="W12"/>
    </sheetView>
  </sheetViews>
  <sheetFormatPr defaultRowHeight="15" x14ac:dyDescent="0.25"/>
  <cols>
    <col min="3" max="3" width="13" customWidth="1"/>
    <col min="4" max="4" width="16.85546875" customWidth="1"/>
    <col min="5" max="6" width="12.28515625" customWidth="1"/>
    <col min="7" max="8" width="12.85546875" customWidth="1"/>
    <col min="9" max="9" width="14.28515625" customWidth="1"/>
    <col min="10" max="10" width="13.7109375" customWidth="1"/>
    <col min="11" max="11" width="10" customWidth="1"/>
    <col min="12" max="12" width="11.7109375" customWidth="1"/>
    <col min="13" max="13" width="12.28515625" customWidth="1"/>
    <col min="14" max="14" width="11.85546875" customWidth="1"/>
    <col min="15" max="15" width="13" customWidth="1"/>
    <col min="16" max="16" width="52.5703125" bestFit="1" customWidth="1"/>
    <col min="17" max="20" width="11.42578125" bestFit="1" customWidth="1"/>
    <col min="21" max="22" width="11.42578125" customWidth="1"/>
    <col min="23" max="23" width="21.85546875" bestFit="1" customWidth="1"/>
  </cols>
  <sheetData>
    <row r="1" spans="1:23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104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72</v>
      </c>
      <c r="O1" t="s">
        <v>73</v>
      </c>
      <c r="P1" t="s">
        <v>74</v>
      </c>
      <c r="Q1" t="s">
        <v>98</v>
      </c>
      <c r="R1" t="s">
        <v>99</v>
      </c>
      <c r="S1" t="s">
        <v>100</v>
      </c>
      <c r="T1" t="s">
        <v>101</v>
      </c>
      <c r="U1" t="s">
        <v>102</v>
      </c>
      <c r="V1" t="s">
        <v>103</v>
      </c>
      <c r="W1" t="s">
        <v>105</v>
      </c>
    </row>
    <row r="2" spans="1:23" x14ac:dyDescent="0.25">
      <c r="A2" t="str">
        <f>RawData_Query[[#This Row],[Ticker]]</f>
        <v>IWM</v>
      </c>
      <c r="B2">
        <f>RawData_Query[[#This Row],[Tier]]</f>
        <v>1</v>
      </c>
      <c r="C2">
        <f>IF(B2=1,10,IF(B2=2,5,0))</f>
        <v>10</v>
      </c>
      <c r="D2" t="str">
        <f>IF(RawData_Query[[#This Row],[NetGamma]]&gt;0,"Long Gamma","Short Gamma")</f>
        <v>Long Gamma</v>
      </c>
      <c r="E2" t="str">
        <f>IF(RawData_Query[[#This Row],[NetDelta]]&gt;0,"Dealers Long","Dealers Short")</f>
        <v>Dealers Long</v>
      </c>
      <c r="F2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2" t="str">
        <f>IF(RawData_Query[[#This Row],[NetCharm]]&lt;0,"Sell Into Close","Buy Into Close")</f>
        <v>Sell Into Close</v>
      </c>
      <c r="H2" t="str" cm="1">
        <f t="array" ref="H2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2" t="b">
        <f>IF(
    RawData_Query[[#This Row],[CallWallStrike]]="",
    FALSE,
    ABS(RawData_Query[[#This Row],[CallWallStrike]] - RawData_Query[[#This Row],[Price]]) / RawData_Query[[#This Row],[Price]] &lt; 0.02
)</f>
        <v>0</v>
      </c>
      <c r="J2" t="b">
        <f>IF(
    RawData_Query[[#This Row],[PutWallStrike]]="",
    FALSE,
    ABS(RawData_Query[[#This Row],[PutWallStrike]] - RawData_Query[[#This Row],[Price]]) / RawData_Query[[#This Row],[Price]] &lt; 0.02
)</f>
        <v>0</v>
      </c>
      <c r="K2" t="str">
        <f>IF(RawData_Query[[#This Row],[FlipStrike]]="","",
   IF(RawData_Query[[#This Row],[FlipStrike]] &gt; RawData_Query[[#This Row],[Price]],"Below Flip","Above Flip")
)</f>
        <v>Below Flip</v>
      </c>
      <c r="L2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2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2" t="str">
        <f>IF(LogicEngineClean[[#This Row],[BullScore]]&gt;LogicEngineClean[[#This Row],[BearScore]],"Call",
   IF(LogicEngineClean[[#This Row],[BearScore]]&gt;LogicEngineClean[[#This Row],[BullScore]],"Put","Avoid")
)</f>
        <v>Avoid</v>
      </c>
      <c r="O2">
        <f>MAX(LogicEngineClean[[#This Row],[BullScore]],LogicEngineClean[[#This Row],[BearScore]])</f>
        <v>35</v>
      </c>
      <c r="P2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2">
        <f>IF(LogicEngineClean[[#This Row],[GammaRegime]]="Short Gamma",20,0)</f>
        <v>0</v>
      </c>
      <c r="R2">
        <f>IF(LogicEngineClean[[#This Row],[DeltaLean]]="Dealers Long",20,0)</f>
        <v>20</v>
      </c>
      <c r="S2">
        <f>IF(LogicEngineClean[[#This Row],[VannaBias]]="Upside Drift",20,
IF(LogicEngineClean[[#This Row],[VannaBias]]="Downside Drift",20,10))</f>
        <v>20</v>
      </c>
      <c r="T2">
        <f>IF(LogicEngineClean[[#This Row],[CharmBias]]="Sell Into Close",20,0)</f>
        <v>20</v>
      </c>
      <c r="U2">
        <f>IFERROR(IF(OR(LogicEngineClean[[#This Row],[CallWallFlag]]=TRUE,LogicEngineClean[[#This Row],[PutWallFlag]]=TRUE),10,0)
+
IF(LogicEngineClean[[#This Row],[FlipFlag]]="Below Flip",10,0),"")</f>
        <v>10</v>
      </c>
      <c r="V2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2" s="4" t="str" cm="1">
        <f t="array" ref="W2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3" spans="1:23" x14ac:dyDescent="0.25">
      <c r="A3" t="str">
        <f>RawData_Query[[#This Row],[Ticker]]</f>
        <v>SPY</v>
      </c>
      <c r="B3">
        <f>RawData_Query[[#This Row],[Tier]]</f>
        <v>1</v>
      </c>
      <c r="C3">
        <v>10</v>
      </c>
      <c r="D3" t="str">
        <f>IF(RawData_Query[[#This Row],[NetGamma]]&gt;0,"Long Gamma","Short Gamma")</f>
        <v>Short Gamma</v>
      </c>
      <c r="E3" t="str">
        <f>IF(RawData_Query[[#This Row],[NetDelta]]&gt;0,"Dealers Long","Dealers Short")</f>
        <v>Dealers Long</v>
      </c>
      <c r="F3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3" t="str">
        <f>IF(RawData_Query[[#This Row],[NetCharm]]&lt;0,"Sell Into Close","Buy Into Close")</f>
        <v>Sell Into Close</v>
      </c>
      <c r="H3" t="str" cm="1">
        <f t="array" ref="H3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3" t="b">
        <f>IF(
    RawData_Query[[#This Row],[CallWallStrike]]="",
    FALSE,
    ABS(RawData_Query[[#This Row],[CallWallStrike]] - RawData_Query[[#This Row],[Price]]) / RawData_Query[[#This Row],[Price]] &lt; 0.02
)</f>
        <v>0</v>
      </c>
      <c r="J3" t="b">
        <f>IF(
    RawData_Query[[#This Row],[PutWallStrike]]="",
    FALSE,
    ABS(RawData_Query[[#This Row],[PutWallStrike]] - RawData_Query[[#This Row],[Price]]) / RawData_Query[[#This Row],[Price]] &lt; 0.02
)</f>
        <v>0</v>
      </c>
      <c r="K3" t="str">
        <f>IF(RawData_Query[[#This Row],[FlipStrike]]="","",
   IF(RawData_Query[[#This Row],[FlipStrike]] &gt; RawData_Query[[#This Row],[Price]],"Below Flip","Above Flip")
)</f>
        <v>Above Flip</v>
      </c>
      <c r="L3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3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3" t="str">
        <f>IF(LogicEngineClean[[#This Row],[BullScore]]&gt;LogicEngineClean[[#This Row],[BearScore]],"Call",
   IF(LogicEngineClean[[#This Row],[BearScore]]&gt;LogicEngineClean[[#This Row],[BullScore]],"Put","Avoid")
)</f>
        <v>Put</v>
      </c>
      <c r="O3">
        <f>MAX(LogicEngineClean[[#This Row],[BullScore]],LogicEngineClean[[#This Row],[BearScore]])</f>
        <v>45</v>
      </c>
      <c r="P3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3">
        <f>IF(LogicEngineClean[[#This Row],[GammaRegime]]="Short Gamma",20,0)</f>
        <v>20</v>
      </c>
      <c r="R3">
        <f>IF(LogicEngineClean[[#This Row],[DeltaLean]]="Dealers Long",20,0)</f>
        <v>20</v>
      </c>
      <c r="S3">
        <f>IF(LogicEngineClean[[#This Row],[VannaBias]]="Upside Drift",20,
IF(LogicEngineClean[[#This Row],[VannaBias]]="Downside Drift",20,10))</f>
        <v>20</v>
      </c>
      <c r="T3">
        <f>IF(LogicEngineClean[[#This Row],[CharmBias]]="Sell Into Close",20,0)</f>
        <v>20</v>
      </c>
      <c r="U3">
        <f>IFERROR(IF(OR(LogicEngineClean[[#This Row],[CallWallFlag]]=TRUE,LogicEngineClean[[#This Row],[PutWallFlag]]=TRUE),10,0)
+
IF(LogicEngineClean[[#This Row],[FlipFlag]]="Below Flip",10,0),"")</f>
        <v>0</v>
      </c>
      <c r="V3">
        <f>IFERROR(LogicEngineClean[[#This Row],[GammaScore]] + LogicEngineClean[[#This Row],[DeltaScore]] + LogicEngineClean[[#This Row],[VannaScore]] + LogicEngineClean[[#This Row],[CharmScore]] + LogicEngineClean[[#This Row],[WallFlipScore]],"")</f>
        <v>80</v>
      </c>
      <c r="W3" s="4" t="str" cm="1">
        <f t="array" ref="W3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Squeeze Up</v>
      </c>
    </row>
    <row r="4" spans="1:23" x14ac:dyDescent="0.25">
      <c r="A4" t="str">
        <f>RawData_Query[[#This Row],[Ticker]]</f>
        <v>QQQ</v>
      </c>
      <c r="B4">
        <f>RawData_Query[[#This Row],[Tier]]</f>
        <v>1</v>
      </c>
      <c r="C4">
        <v>10</v>
      </c>
      <c r="D4" t="str">
        <f>IF(RawData_Query[[#This Row],[NetGamma]]&gt;0,"Long Gamma","Short Gamma")</f>
        <v>Short Gamma</v>
      </c>
      <c r="E4" t="str">
        <f>IF(RawData_Query[[#This Row],[NetDelta]]&gt;0,"Dealers Long","Dealers Short")</f>
        <v>Dealers Long</v>
      </c>
      <c r="F4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4" t="str">
        <f>IF(RawData_Query[[#This Row],[NetCharm]]&lt;0,"Sell Into Close","Buy Into Close")</f>
        <v>Sell Into Close</v>
      </c>
      <c r="H4" t="str" cm="1">
        <f t="array" ref="H4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4" t="b">
        <f>IF(
    RawData_Query[[#This Row],[CallWallStrike]]="",
    FALSE,
    ABS(RawData_Query[[#This Row],[CallWallStrike]] - RawData_Query[[#This Row],[Price]]) / RawData_Query[[#This Row],[Price]] &lt; 0.02
)</f>
        <v>0</v>
      </c>
      <c r="J4" t="b">
        <f>IF(
    RawData_Query[[#This Row],[PutWallStrike]]="",
    FALSE,
    ABS(RawData_Query[[#This Row],[PutWallStrike]] - RawData_Query[[#This Row],[Price]]) / RawData_Query[[#This Row],[Price]] &lt; 0.02
)</f>
        <v>0</v>
      </c>
      <c r="K4" t="str">
        <f>IF(RawData_Query[[#This Row],[FlipStrike]]="","",
   IF(RawData_Query[[#This Row],[FlipStrike]] &gt; RawData_Query[[#This Row],[Price]],"Below Flip","Above Flip")
)</f>
        <v>Above Flip</v>
      </c>
      <c r="L4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4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4" t="str">
        <f>IF(LogicEngineClean[[#This Row],[BullScore]]&gt;LogicEngineClean[[#This Row],[BearScore]],"Call",
   IF(LogicEngineClean[[#This Row],[BearScore]]&gt;LogicEngineClean[[#This Row],[BullScore]],"Put","Avoid")
)</f>
        <v>Put</v>
      </c>
      <c r="O4">
        <f>MAX(LogicEngineClean[[#This Row],[BullScore]],LogicEngineClean[[#This Row],[BearScore]])</f>
        <v>45</v>
      </c>
      <c r="P4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4">
        <f>IF(LogicEngineClean[[#This Row],[GammaRegime]]="Short Gamma",20,0)</f>
        <v>20</v>
      </c>
      <c r="R4">
        <f>IF(LogicEngineClean[[#This Row],[DeltaLean]]="Dealers Long",20,0)</f>
        <v>20</v>
      </c>
      <c r="S4">
        <f>IF(LogicEngineClean[[#This Row],[VannaBias]]="Upside Drift",20,
IF(LogicEngineClean[[#This Row],[VannaBias]]="Downside Drift",20,10))</f>
        <v>20</v>
      </c>
      <c r="T4">
        <f>IF(LogicEngineClean[[#This Row],[CharmBias]]="Sell Into Close",20,0)</f>
        <v>20</v>
      </c>
      <c r="U4">
        <f>IFERROR(IF(OR(LogicEngineClean[[#This Row],[CallWallFlag]]=TRUE,LogicEngineClean[[#This Row],[PutWallFlag]]=TRUE),10,0)
+
IF(LogicEngineClean[[#This Row],[FlipFlag]]="Below Flip",10,0),"")</f>
        <v>0</v>
      </c>
      <c r="V4">
        <f>IFERROR(LogicEngineClean[[#This Row],[GammaScore]] + LogicEngineClean[[#This Row],[DeltaScore]] + LogicEngineClean[[#This Row],[VannaScore]] + LogicEngineClean[[#This Row],[CharmScore]] + LogicEngineClean[[#This Row],[WallFlipScore]],"")</f>
        <v>80</v>
      </c>
      <c r="W4" s="4" t="str" cm="1">
        <f t="array" ref="W4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Squeeze Up</v>
      </c>
    </row>
    <row r="5" spans="1:23" x14ac:dyDescent="0.25">
      <c r="A5" t="str">
        <f>RawData_Query[[#This Row],[Ticker]]</f>
        <v>NFLX</v>
      </c>
      <c r="B5">
        <f>RawData_Query[[#This Row],[Tier]]</f>
        <v>1</v>
      </c>
      <c r="C5">
        <v>10</v>
      </c>
      <c r="D5" t="str">
        <f>IF(RawData_Query[[#This Row],[NetGamma]]&gt;0,"Long Gamma","Short Gamma")</f>
        <v>Long Gamma</v>
      </c>
      <c r="E5" t="str">
        <f>IF(RawData_Query[[#This Row],[NetDelta]]&gt;0,"Dealers Long","Dealers Short")</f>
        <v>Dealers Long</v>
      </c>
      <c r="F5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5" t="str">
        <f>IF(RawData_Query[[#This Row],[NetCharm]]&lt;0,"Sell Into Close","Buy Into Close")</f>
        <v>Sell Into Close</v>
      </c>
      <c r="H5" t="str" cm="1">
        <f t="array" ref="H5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5" t="b">
        <f>IF(
    RawData_Query[[#This Row],[CallWallStrike]]="",
    FALSE,
    ABS(RawData_Query[[#This Row],[CallWallStrike]] - RawData_Query[[#This Row],[Price]]) / RawData_Query[[#This Row],[Price]] &lt; 0.02
)</f>
        <v>0</v>
      </c>
      <c r="J5" t="b">
        <f>IF(
    RawData_Query[[#This Row],[PutWallStrike]]="",
    FALSE,
    ABS(RawData_Query[[#This Row],[PutWallStrike]] - RawData_Query[[#This Row],[Price]]) / RawData_Query[[#This Row],[Price]] &lt; 0.02
)</f>
        <v>0</v>
      </c>
      <c r="K5" t="str">
        <f>IF(RawData_Query[[#This Row],[FlipStrike]]="","",
   IF(RawData_Query[[#This Row],[FlipStrike]] &gt; RawData_Query[[#This Row],[Price]],"Below Flip","Above Flip")
)</f>
        <v>Above Flip</v>
      </c>
      <c r="L5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5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5" t="str">
        <f>IF(LogicEngineClean[[#This Row],[BullScore]]&gt;LogicEngineClean[[#This Row],[BearScore]],"Call",
   IF(LogicEngineClean[[#This Row],[BearScore]]&gt;LogicEngineClean[[#This Row],[BullScore]],"Put","Avoid")
)</f>
        <v>Avoid</v>
      </c>
      <c r="O5">
        <f>MAX(LogicEngineClean[[#This Row],[BullScore]],LogicEngineClean[[#This Row],[BearScore]])</f>
        <v>35</v>
      </c>
      <c r="P5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5">
        <f>IF(LogicEngineClean[[#This Row],[GammaRegime]]="Short Gamma",20,0)</f>
        <v>0</v>
      </c>
      <c r="R5">
        <f>IF(LogicEngineClean[[#This Row],[DeltaLean]]="Dealers Long",20,0)</f>
        <v>20</v>
      </c>
      <c r="S5">
        <f>IF(LogicEngineClean[[#This Row],[VannaBias]]="Upside Drift",20,
IF(LogicEngineClean[[#This Row],[VannaBias]]="Downside Drift",20,10))</f>
        <v>20</v>
      </c>
      <c r="T5">
        <f>IF(LogicEngineClean[[#This Row],[CharmBias]]="Sell Into Close",20,0)</f>
        <v>20</v>
      </c>
      <c r="U5">
        <f>IFERROR(IF(OR(LogicEngineClean[[#This Row],[CallWallFlag]]=TRUE,LogicEngineClean[[#This Row],[PutWallFlag]]=TRUE),10,0)
+
IF(LogicEngineClean[[#This Row],[FlipFlag]]="Below Flip",10,0),"")</f>
        <v>0</v>
      </c>
      <c r="V5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5" s="4" t="str" cm="1">
        <f t="array" ref="W5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6" spans="1:23" x14ac:dyDescent="0.25">
      <c r="A6" t="str">
        <f>RawData_Query[[#This Row],[Ticker]]</f>
        <v>AMZN</v>
      </c>
      <c r="B6">
        <f>RawData_Query[[#This Row],[Tier]]</f>
        <v>1</v>
      </c>
      <c r="C6">
        <v>10</v>
      </c>
      <c r="D6" t="str">
        <f>IF(RawData_Query[[#This Row],[NetGamma]]&gt;0,"Long Gamma","Short Gamma")</f>
        <v>Long Gamma</v>
      </c>
      <c r="E6" t="str">
        <f>IF(RawData_Query[[#This Row],[NetDelta]]&gt;0,"Dealers Long","Dealers Short")</f>
        <v>Dealers Long</v>
      </c>
      <c r="F6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6" t="str">
        <f>IF(RawData_Query[[#This Row],[NetCharm]]&lt;0,"Sell Into Close","Buy Into Close")</f>
        <v>Sell Into Close</v>
      </c>
      <c r="H6" t="str" cm="1">
        <f t="array" ref="H6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6" t="b">
        <f>IF(
    RawData_Query[[#This Row],[CallWallStrike]]="",
    FALSE,
    ABS(RawData_Query[[#This Row],[CallWallStrike]] - RawData_Query[[#This Row],[Price]]) / RawData_Query[[#This Row],[Price]] &lt; 0.02
)</f>
        <v>1</v>
      </c>
      <c r="J6" t="b">
        <f>IF(
    RawData_Query[[#This Row],[PutWallStrike]]="",
    FALSE,
    ABS(RawData_Query[[#This Row],[PutWallStrike]] - RawData_Query[[#This Row],[Price]]) / RawData_Query[[#This Row],[Price]] &lt; 0.02
)</f>
        <v>0</v>
      </c>
      <c r="K6" t="str">
        <f>IF(RawData_Query[[#This Row],[FlipStrike]]="","",
   IF(RawData_Query[[#This Row],[FlipStrike]] &gt; RawData_Query[[#This Row],[Price]],"Below Flip","Above Flip")
)</f>
        <v>Above Flip</v>
      </c>
      <c r="L6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40</v>
      </c>
      <c r="M6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6" t="str">
        <f>IF(LogicEngineClean[[#This Row],[BullScore]]&gt;LogicEngineClean[[#This Row],[BearScore]],"Call",
   IF(LogicEngineClean[[#This Row],[BearScore]]&gt;LogicEngineClean[[#This Row],[BullScore]],"Put","Avoid")
)</f>
        <v>Call</v>
      </c>
      <c r="O6">
        <f>MAX(LogicEngineClean[[#This Row],[BullScore]],LogicEngineClean[[#This Row],[BearScore]])</f>
        <v>40</v>
      </c>
      <c r="P6" t="str">
        <f>"Bias: " &amp; LogicEngineClean[[#This Row],[TradeBias]] &amp;
" | Regime: " &amp; LogicEngineClean[[#This Row],[GammaRegime]] &amp;
" | Delta: " &amp; LogicEngineClean[[#This Row],[DeltaLean]]</f>
        <v>Bias: Call | Regime: Long Gamma | Delta: Dealers Long</v>
      </c>
      <c r="Q6">
        <f>IF(LogicEngineClean[[#This Row],[GammaRegime]]="Short Gamma",20,0)</f>
        <v>0</v>
      </c>
      <c r="R6">
        <f>IF(LogicEngineClean[[#This Row],[DeltaLean]]="Dealers Long",20,0)</f>
        <v>20</v>
      </c>
      <c r="S6">
        <f>IF(LogicEngineClean[[#This Row],[VannaBias]]="Upside Drift",20,
IF(LogicEngineClean[[#This Row],[VannaBias]]="Downside Drift",20,10))</f>
        <v>20</v>
      </c>
      <c r="T6">
        <f>IF(LogicEngineClean[[#This Row],[CharmBias]]="Sell Into Close",20,0)</f>
        <v>20</v>
      </c>
      <c r="U6">
        <f>IFERROR(IF(OR(LogicEngineClean[[#This Row],[CallWallFlag]]=TRUE,LogicEngineClean[[#This Row],[PutWallFlag]]=TRUE),10,0)
+
IF(LogicEngineClean[[#This Row],[FlipFlag]]="Below Flip",10,0),"")</f>
        <v>10</v>
      </c>
      <c r="V6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6" s="4" t="str" cm="1">
        <f t="array" ref="W6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Range Reversion</v>
      </c>
    </row>
    <row r="7" spans="1:23" x14ac:dyDescent="0.25">
      <c r="A7" t="str">
        <f>RawData_Query[[#This Row],[Ticker]]</f>
        <v>AAPL</v>
      </c>
      <c r="B7">
        <f>RawData_Query[[#This Row],[Tier]]</f>
        <v>1</v>
      </c>
      <c r="C7">
        <v>10</v>
      </c>
      <c r="D7" t="str">
        <f>IF(RawData_Query[[#This Row],[NetGamma]]&gt;0,"Long Gamma","Short Gamma")</f>
        <v>Long Gamma</v>
      </c>
      <c r="E7" t="str">
        <f>IF(RawData_Query[[#This Row],[NetDelta]]&gt;0,"Dealers Long","Dealers Short")</f>
        <v>Dealers Long</v>
      </c>
      <c r="F7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7" t="str">
        <f>IF(RawData_Query[[#This Row],[NetCharm]]&lt;0,"Sell Into Close","Buy Into Close")</f>
        <v>Sell Into Close</v>
      </c>
      <c r="H7" t="str" cm="1">
        <f t="array" ref="H7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7" t="b">
        <f>IF(
    RawData_Query[[#This Row],[CallWallStrike]]="",
    FALSE,
    ABS(RawData_Query[[#This Row],[CallWallStrike]] - RawData_Query[[#This Row],[Price]]) / RawData_Query[[#This Row],[Price]] &lt; 0.02
)</f>
        <v>0</v>
      </c>
      <c r="J7" t="b">
        <f>IF(
    RawData_Query[[#This Row],[PutWallStrike]]="",
    FALSE,
    ABS(RawData_Query[[#This Row],[PutWallStrike]] - RawData_Query[[#This Row],[Price]]) / RawData_Query[[#This Row],[Price]] &lt; 0.02
)</f>
        <v>0</v>
      </c>
      <c r="K7" t="str">
        <f>IF(RawData_Query[[#This Row],[FlipStrike]]="","",
   IF(RawData_Query[[#This Row],[FlipStrike]] &gt; RawData_Query[[#This Row],[Price]],"Below Flip","Above Flip")
)</f>
        <v>Above Flip</v>
      </c>
      <c r="L7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7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7" t="str">
        <f>IF(LogicEngineClean[[#This Row],[BullScore]]&gt;LogicEngineClean[[#This Row],[BearScore]],"Call",
   IF(LogicEngineClean[[#This Row],[BearScore]]&gt;LogicEngineClean[[#This Row],[BullScore]],"Put","Avoid")
)</f>
        <v>Avoid</v>
      </c>
      <c r="O7">
        <f>MAX(LogicEngineClean[[#This Row],[BullScore]],LogicEngineClean[[#This Row],[BearScore]])</f>
        <v>35</v>
      </c>
      <c r="P7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7">
        <f>IF(LogicEngineClean[[#This Row],[GammaRegime]]="Short Gamma",20,0)</f>
        <v>0</v>
      </c>
      <c r="R7">
        <f>IF(LogicEngineClean[[#This Row],[DeltaLean]]="Dealers Long",20,0)</f>
        <v>20</v>
      </c>
      <c r="S7">
        <f>IF(LogicEngineClean[[#This Row],[VannaBias]]="Upside Drift",20,
IF(LogicEngineClean[[#This Row],[VannaBias]]="Downside Drift",20,10))</f>
        <v>20</v>
      </c>
      <c r="T7">
        <f>IF(LogicEngineClean[[#This Row],[CharmBias]]="Sell Into Close",20,0)</f>
        <v>20</v>
      </c>
      <c r="U7">
        <f>IFERROR(IF(OR(LogicEngineClean[[#This Row],[CallWallFlag]]=TRUE,LogicEngineClean[[#This Row],[PutWallFlag]]=TRUE),10,0)
+
IF(LogicEngineClean[[#This Row],[FlipFlag]]="Below Flip",10,0),"")</f>
        <v>0</v>
      </c>
      <c r="V7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7" s="4" t="str" cm="1">
        <f t="array" ref="W7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8" spans="1:23" x14ac:dyDescent="0.25">
      <c r="A8" t="str">
        <f>RawData_Query[[#This Row],[Ticker]]</f>
        <v>TSLA</v>
      </c>
      <c r="B8">
        <f>RawData_Query[[#This Row],[Tier]]</f>
        <v>1</v>
      </c>
      <c r="C8">
        <v>10</v>
      </c>
      <c r="D8" t="str">
        <f>IF(RawData_Query[[#This Row],[NetGamma]]&gt;0,"Long Gamma","Short Gamma")</f>
        <v>Long Gamma</v>
      </c>
      <c r="E8" t="str">
        <f>IF(RawData_Query[[#This Row],[NetDelta]]&gt;0,"Dealers Long","Dealers Short")</f>
        <v>Dealers Long</v>
      </c>
      <c r="F8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8" t="str">
        <f>IF(RawData_Query[[#This Row],[NetCharm]]&lt;0,"Sell Into Close","Buy Into Close")</f>
        <v>Sell Into Close</v>
      </c>
      <c r="H8" t="str" cm="1">
        <f t="array" ref="H8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8" t="b">
        <f>IF(
    RawData_Query[[#This Row],[CallWallStrike]]="",
    FALSE,
    ABS(RawData_Query[[#This Row],[CallWallStrike]] - RawData_Query[[#This Row],[Price]]) / RawData_Query[[#This Row],[Price]] &lt; 0.02
)</f>
        <v>0</v>
      </c>
      <c r="J8" t="b">
        <f>IF(
    RawData_Query[[#This Row],[PutWallStrike]]="",
    FALSE,
    ABS(RawData_Query[[#This Row],[PutWallStrike]] - RawData_Query[[#This Row],[Price]]) / RawData_Query[[#This Row],[Price]] &lt; 0.02
)</f>
        <v>0</v>
      </c>
      <c r="K8" t="str">
        <f>IF(RawData_Query[[#This Row],[FlipStrike]]="","",
   IF(RawData_Query[[#This Row],[FlipStrike]] &gt; RawData_Query[[#This Row],[Price]],"Below Flip","Above Flip")
)</f>
        <v>Above Flip</v>
      </c>
      <c r="L8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8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8" t="str">
        <f>IF(LogicEngineClean[[#This Row],[BullScore]]&gt;LogicEngineClean[[#This Row],[BearScore]],"Call",
   IF(LogicEngineClean[[#This Row],[BearScore]]&gt;LogicEngineClean[[#This Row],[BullScore]],"Put","Avoid")
)</f>
        <v>Avoid</v>
      </c>
      <c r="O8">
        <f>MAX(LogicEngineClean[[#This Row],[BullScore]],LogicEngineClean[[#This Row],[BearScore]])</f>
        <v>35</v>
      </c>
      <c r="P8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8">
        <f>IF(LogicEngineClean[[#This Row],[GammaRegime]]="Short Gamma",20,0)</f>
        <v>0</v>
      </c>
      <c r="R8">
        <f>IF(LogicEngineClean[[#This Row],[DeltaLean]]="Dealers Long",20,0)</f>
        <v>20</v>
      </c>
      <c r="S8">
        <f>IF(LogicEngineClean[[#This Row],[VannaBias]]="Upside Drift",20,
IF(LogicEngineClean[[#This Row],[VannaBias]]="Downside Drift",20,10))</f>
        <v>20</v>
      </c>
      <c r="T8">
        <f>IF(LogicEngineClean[[#This Row],[CharmBias]]="Sell Into Close",20,0)</f>
        <v>20</v>
      </c>
      <c r="U8">
        <f>IFERROR(IF(OR(LogicEngineClean[[#This Row],[CallWallFlag]]=TRUE,LogicEngineClean[[#This Row],[PutWallFlag]]=TRUE),10,0)
+
IF(LogicEngineClean[[#This Row],[FlipFlag]]="Below Flip",10,0),"")</f>
        <v>0</v>
      </c>
      <c r="V8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8" s="4" t="str" cm="1">
        <f t="array" ref="W8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9" spans="1:23" x14ac:dyDescent="0.25">
      <c r="A9" t="str">
        <f>RawData_Query[[#This Row],[Ticker]]</f>
        <v>META</v>
      </c>
      <c r="B9">
        <f>RawData_Query[[#This Row],[Tier]]</f>
        <v>1</v>
      </c>
      <c r="C9">
        <v>10</v>
      </c>
      <c r="D9" t="str">
        <f>IF(RawData_Query[[#This Row],[NetGamma]]&gt;0,"Long Gamma","Short Gamma")</f>
        <v>Short Gamma</v>
      </c>
      <c r="E9" t="str">
        <f>IF(RawData_Query[[#This Row],[NetDelta]]&gt;0,"Dealers Long","Dealers Short")</f>
        <v>Dealers Long</v>
      </c>
      <c r="F9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9" t="str">
        <f>IF(RawData_Query[[#This Row],[NetCharm]]&lt;0,"Sell Into Close","Buy Into Close")</f>
        <v>Sell Into Close</v>
      </c>
      <c r="H9" t="str" cm="1">
        <f t="array" ref="H9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9" t="b">
        <f>IF(
    RawData_Query[[#This Row],[CallWallStrike]]="",
    FALSE,
    ABS(RawData_Query[[#This Row],[CallWallStrike]] - RawData_Query[[#This Row],[Price]]) / RawData_Query[[#This Row],[Price]] &lt; 0.02
)</f>
        <v>0</v>
      </c>
      <c r="J9" t="b">
        <f>IF(
    RawData_Query[[#This Row],[PutWallStrike]]="",
    FALSE,
    ABS(RawData_Query[[#This Row],[PutWallStrike]] - RawData_Query[[#This Row],[Price]]) / RawData_Query[[#This Row],[Price]] &lt; 0.02
)</f>
        <v>0</v>
      </c>
      <c r="K9" t="str">
        <f>IF(RawData_Query[[#This Row],[FlipStrike]]="","",
   IF(RawData_Query[[#This Row],[FlipStrike]] &gt; RawData_Query[[#This Row],[Price]],"Below Flip","Above Flip")
)</f>
        <v>Above Flip</v>
      </c>
      <c r="L9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9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9" t="str">
        <f>IF(LogicEngineClean[[#This Row],[BullScore]]&gt;LogicEngineClean[[#This Row],[BearScore]],"Call",
   IF(LogicEngineClean[[#This Row],[BearScore]]&gt;LogicEngineClean[[#This Row],[BullScore]],"Put","Avoid")
)</f>
        <v>Put</v>
      </c>
      <c r="O9">
        <f>MAX(LogicEngineClean[[#This Row],[BullScore]],LogicEngineClean[[#This Row],[BearScore]])</f>
        <v>45</v>
      </c>
      <c r="P9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9">
        <f>IF(LogicEngineClean[[#This Row],[GammaRegime]]="Short Gamma",20,0)</f>
        <v>20</v>
      </c>
      <c r="R9">
        <f>IF(LogicEngineClean[[#This Row],[DeltaLean]]="Dealers Long",20,0)</f>
        <v>20</v>
      </c>
      <c r="S9">
        <f>IF(LogicEngineClean[[#This Row],[VannaBias]]="Upside Drift",20,
IF(LogicEngineClean[[#This Row],[VannaBias]]="Downside Drift",20,10))</f>
        <v>20</v>
      </c>
      <c r="T9">
        <f>IF(LogicEngineClean[[#This Row],[CharmBias]]="Sell Into Close",20,0)</f>
        <v>20</v>
      </c>
      <c r="U9">
        <f>IFERROR(IF(OR(LogicEngineClean[[#This Row],[CallWallFlag]]=TRUE,LogicEngineClean[[#This Row],[PutWallFlag]]=TRUE),10,0)
+
IF(LogicEngineClean[[#This Row],[FlipFlag]]="Below Flip",10,0),"")</f>
        <v>0</v>
      </c>
      <c r="V9">
        <f>IFERROR(LogicEngineClean[[#This Row],[GammaScore]] + LogicEngineClean[[#This Row],[DeltaScore]] + LogicEngineClean[[#This Row],[VannaScore]] + LogicEngineClean[[#This Row],[CharmScore]] + LogicEngineClean[[#This Row],[WallFlipScore]],"")</f>
        <v>80</v>
      </c>
      <c r="W9" s="4" t="str" cm="1">
        <f t="array" ref="W9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Squeeze Up</v>
      </c>
    </row>
    <row r="10" spans="1:23" x14ac:dyDescent="0.25">
      <c r="A10" t="str">
        <f>RawData_Query[[#This Row],[Ticker]]</f>
        <v>PLTR</v>
      </c>
      <c r="B10">
        <f>RawData_Query[[#This Row],[Tier]]</f>
        <v>2</v>
      </c>
      <c r="C10">
        <v>5</v>
      </c>
      <c r="D10" t="str">
        <f>IF(RawData_Query[[#This Row],[NetGamma]]&gt;0,"Long Gamma","Short Gamma")</f>
        <v>Short Gamma</v>
      </c>
      <c r="E10" t="str">
        <f>IF(RawData_Query[[#This Row],[NetDelta]]&gt;0,"Dealers Long","Dealers Short")</f>
        <v>Dealers Long</v>
      </c>
      <c r="F10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10" t="str">
        <f>IF(RawData_Query[[#This Row],[NetCharm]]&lt;0,"Sell Into Close","Buy Into Close")</f>
        <v>Sell Into Close</v>
      </c>
      <c r="H10" t="str" cm="1">
        <f t="array" ref="H10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10" t="b">
        <f>IF(
    RawData_Query[[#This Row],[CallWallStrike]]="",
    FALSE,
    ABS(RawData_Query[[#This Row],[CallWallStrike]] - RawData_Query[[#This Row],[Price]]) / RawData_Query[[#This Row],[Price]] &lt; 0.02
)</f>
        <v>0</v>
      </c>
      <c r="J10" t="b">
        <f>IF(
    RawData_Query[[#This Row],[PutWallStrike]]="",
    FALSE,
    ABS(RawData_Query[[#This Row],[PutWallStrike]] - RawData_Query[[#This Row],[Price]]) / RawData_Query[[#This Row],[Price]] &lt; 0.02
)</f>
        <v>0</v>
      </c>
      <c r="K10" t="str">
        <f>IF(RawData_Query[[#This Row],[FlipStrike]]="","",
   IF(RawData_Query[[#This Row],[FlipStrike]] &gt; RawData_Query[[#This Row],[Price]],"Below Flip","Above Flip")
)</f>
        <v>Above Flip</v>
      </c>
      <c r="L10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10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40</v>
      </c>
      <c r="N10" t="str">
        <f>IF(LogicEngineClean[[#This Row],[BullScore]]&gt;LogicEngineClean[[#This Row],[BearScore]],"Call",
   IF(LogicEngineClean[[#This Row],[BearScore]]&gt;LogicEngineClean[[#This Row],[BullScore]],"Put","Avoid")
)</f>
        <v>Put</v>
      </c>
      <c r="O10">
        <f>MAX(LogicEngineClean[[#This Row],[BullScore]],LogicEngineClean[[#This Row],[BearScore]])</f>
        <v>40</v>
      </c>
      <c r="P10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10">
        <f>IF(LogicEngineClean[[#This Row],[GammaRegime]]="Short Gamma",20,0)</f>
        <v>20</v>
      </c>
      <c r="R10">
        <f>IF(LogicEngineClean[[#This Row],[DeltaLean]]="Dealers Long",20,0)</f>
        <v>20</v>
      </c>
      <c r="S10">
        <f>IF(LogicEngineClean[[#This Row],[VannaBias]]="Upside Drift",20,
IF(LogicEngineClean[[#This Row],[VannaBias]]="Downside Drift",20,10))</f>
        <v>20</v>
      </c>
      <c r="T10">
        <f>IF(LogicEngineClean[[#This Row],[CharmBias]]="Sell Into Close",20,0)</f>
        <v>20</v>
      </c>
      <c r="U10">
        <f>IFERROR(IF(OR(LogicEngineClean[[#This Row],[CallWallFlag]]=TRUE,LogicEngineClean[[#This Row],[PutWallFlag]]=TRUE),10,0)
+
IF(LogicEngineClean[[#This Row],[FlipFlag]]="Below Flip",10,0),"")</f>
        <v>0</v>
      </c>
      <c r="V10">
        <f>IFERROR(LogicEngineClean[[#This Row],[GammaScore]] + LogicEngineClean[[#This Row],[DeltaScore]] + LogicEngineClean[[#This Row],[VannaScore]] + LogicEngineClean[[#This Row],[CharmScore]] + LogicEngineClean[[#This Row],[WallFlipScore]],"")</f>
        <v>80</v>
      </c>
      <c r="W10" s="4" t="str" cm="1">
        <f t="array" ref="W10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Squeeze Up</v>
      </c>
    </row>
    <row r="11" spans="1:23" x14ac:dyDescent="0.25">
      <c r="A11" t="str">
        <f>RawData_Query[[#This Row],[Ticker]]</f>
        <v>GOOG</v>
      </c>
      <c r="B11">
        <f>RawData_Query[[#This Row],[Tier]]</f>
        <v>1</v>
      </c>
      <c r="C11">
        <v>10</v>
      </c>
      <c r="D11" t="str">
        <f>IF(RawData_Query[[#This Row],[NetGamma]]&gt;0,"Long Gamma","Short Gamma")</f>
        <v>Long Gamma</v>
      </c>
      <c r="E11" t="str">
        <f>IF(RawData_Query[[#This Row],[NetDelta]]&gt;0,"Dealers Long","Dealers Short")</f>
        <v>Dealers Long</v>
      </c>
      <c r="F11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11" t="str">
        <f>IF(RawData_Query[[#This Row],[NetCharm]]&lt;0,"Sell Into Close","Buy Into Close")</f>
        <v>Sell Into Close</v>
      </c>
      <c r="H11" t="str" cm="1">
        <f t="array" ref="H11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11" t="b">
        <f>IF(
    RawData_Query[[#This Row],[CallWallStrike]]="",
    FALSE,
    ABS(RawData_Query[[#This Row],[CallWallStrike]] - RawData_Query[[#This Row],[Price]]) / RawData_Query[[#This Row],[Price]] &lt; 0.02
)</f>
        <v>0</v>
      </c>
      <c r="J11" t="b">
        <f>IF(
    RawData_Query[[#This Row],[PutWallStrike]]="",
    FALSE,
    ABS(RawData_Query[[#This Row],[PutWallStrike]] - RawData_Query[[#This Row],[Price]]) / RawData_Query[[#This Row],[Price]] &lt; 0.02
)</f>
        <v>0</v>
      </c>
      <c r="K11" t="str">
        <f>IF(RawData_Query[[#This Row],[FlipStrike]]="","",
   IF(RawData_Query[[#This Row],[FlipStrike]] &gt; RawData_Query[[#This Row],[Price]],"Below Flip","Above Flip")
)</f>
        <v>Above Flip</v>
      </c>
      <c r="L11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11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11" t="str">
        <f>IF(LogicEngineClean[[#This Row],[BullScore]]&gt;LogicEngineClean[[#This Row],[BearScore]],"Call",
   IF(LogicEngineClean[[#This Row],[BearScore]]&gt;LogicEngineClean[[#This Row],[BullScore]],"Put","Avoid")
)</f>
        <v>Avoid</v>
      </c>
      <c r="O11">
        <f>MAX(LogicEngineClean[[#This Row],[BullScore]],LogicEngineClean[[#This Row],[BearScore]])</f>
        <v>35</v>
      </c>
      <c r="P11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11">
        <f>IF(LogicEngineClean[[#This Row],[GammaRegime]]="Short Gamma",20,0)</f>
        <v>0</v>
      </c>
      <c r="R11">
        <f>IF(LogicEngineClean[[#This Row],[DeltaLean]]="Dealers Long",20,0)</f>
        <v>20</v>
      </c>
      <c r="S11">
        <f>IF(LogicEngineClean[[#This Row],[VannaBias]]="Upside Drift",20,
IF(LogicEngineClean[[#This Row],[VannaBias]]="Downside Drift",20,10))</f>
        <v>20</v>
      </c>
      <c r="T11">
        <f>IF(LogicEngineClean[[#This Row],[CharmBias]]="Sell Into Close",20,0)</f>
        <v>20</v>
      </c>
      <c r="U11">
        <f>IFERROR(IF(OR(LogicEngineClean[[#This Row],[CallWallFlag]]=TRUE,LogicEngineClean[[#This Row],[PutWallFlag]]=TRUE),10,0)
+
IF(LogicEngineClean[[#This Row],[FlipFlag]]="Below Flip",10,0),"")</f>
        <v>0</v>
      </c>
      <c r="V11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11" s="4" t="str" cm="1">
        <f t="array" ref="W11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12" spans="1:23" x14ac:dyDescent="0.25">
      <c r="A12" t="str">
        <f>RawData_Query[[#This Row],[Ticker]]</f>
        <v>MSFT</v>
      </c>
      <c r="B12">
        <f>RawData_Query[[#This Row],[Tier]]</f>
        <v>1</v>
      </c>
      <c r="C12">
        <v>10</v>
      </c>
      <c r="D12" t="str">
        <f>IF(RawData_Query[[#This Row],[NetGamma]]&gt;0,"Long Gamma","Short Gamma")</f>
        <v>Long Gamma</v>
      </c>
      <c r="E12" t="str">
        <f>IF(RawData_Query[[#This Row],[NetDelta]]&gt;0,"Dealers Long","Dealers Short")</f>
        <v>Dealers Long</v>
      </c>
      <c r="F12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12" t="str">
        <f>IF(RawData_Query[[#This Row],[NetCharm]]&lt;0,"Sell Into Close","Buy Into Close")</f>
        <v>Sell Into Close</v>
      </c>
      <c r="H12" t="str" cm="1">
        <f t="array" ref="H12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12" t="b">
        <f>IF(
    RawData_Query[[#This Row],[CallWallStrike]]="",
    FALSE,
    ABS(RawData_Query[[#This Row],[CallWallStrike]] - RawData_Query[[#This Row],[Price]]) / RawData_Query[[#This Row],[Price]] &lt; 0.02
)</f>
        <v>0</v>
      </c>
      <c r="J12" t="b">
        <f>IF(
    RawData_Query[[#This Row],[PutWallStrike]]="",
    FALSE,
    ABS(RawData_Query[[#This Row],[PutWallStrike]] - RawData_Query[[#This Row],[Price]]) / RawData_Query[[#This Row],[Price]] &lt; 0.02
)</f>
        <v>0</v>
      </c>
      <c r="K12" t="str">
        <f>IF(RawData_Query[[#This Row],[FlipStrike]]="","",
   IF(RawData_Query[[#This Row],[FlipStrike]] &gt; RawData_Query[[#This Row],[Price]],"Below Flip","Above Flip")
)</f>
        <v>Above Flip</v>
      </c>
      <c r="L12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12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12" t="str">
        <f>IF(LogicEngineClean[[#This Row],[BullScore]]&gt;LogicEngineClean[[#This Row],[BearScore]],"Call",
   IF(LogicEngineClean[[#This Row],[BearScore]]&gt;LogicEngineClean[[#This Row],[BullScore]],"Put","Avoid")
)</f>
        <v>Avoid</v>
      </c>
      <c r="O12">
        <f>MAX(LogicEngineClean[[#This Row],[BullScore]],LogicEngineClean[[#This Row],[BearScore]])</f>
        <v>35</v>
      </c>
      <c r="P12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12">
        <f>IF(LogicEngineClean[[#This Row],[GammaRegime]]="Short Gamma",20,0)</f>
        <v>0</v>
      </c>
      <c r="R12">
        <f>IF(LogicEngineClean[[#This Row],[DeltaLean]]="Dealers Long",20,0)</f>
        <v>20</v>
      </c>
      <c r="S12">
        <f>IF(LogicEngineClean[[#This Row],[VannaBias]]="Upside Drift",20,
IF(LogicEngineClean[[#This Row],[VannaBias]]="Downside Drift",20,10))</f>
        <v>20</v>
      </c>
      <c r="T12">
        <f>IF(LogicEngineClean[[#This Row],[CharmBias]]="Sell Into Close",20,0)</f>
        <v>20</v>
      </c>
      <c r="U12">
        <f>IFERROR(IF(OR(LogicEngineClean[[#This Row],[CallWallFlag]]=TRUE,LogicEngineClean[[#This Row],[PutWallFlag]]=TRUE),10,0)
+
IF(LogicEngineClean[[#This Row],[FlipFlag]]="Below Flip",10,0),"")</f>
        <v>0</v>
      </c>
      <c r="V12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12" s="4" t="str" cm="1">
        <f t="array" ref="W12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13" spans="1:23" x14ac:dyDescent="0.25">
      <c r="A13" t="str">
        <f>RawData_Query[[#This Row],[Ticker]]</f>
        <v>NVDA</v>
      </c>
      <c r="B13">
        <f>RawData_Query[[#This Row],[Tier]]</f>
        <v>1</v>
      </c>
      <c r="C13">
        <v>10</v>
      </c>
      <c r="D13" t="str">
        <f>IF(RawData_Query[[#This Row],[NetGamma]]&gt;0,"Long Gamma","Short Gamma")</f>
        <v>Long Gamma</v>
      </c>
      <c r="E13" t="str">
        <f>IF(RawData_Query[[#This Row],[NetDelta]]&gt;0,"Dealers Long","Dealers Short")</f>
        <v>Dealers Long</v>
      </c>
      <c r="F13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13" t="str">
        <f>IF(RawData_Query[[#This Row],[NetCharm]]&lt;0,"Sell Into Close","Buy Into Close")</f>
        <v>Sell Into Close</v>
      </c>
      <c r="H13" t="str" cm="1">
        <f t="array" ref="H13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13" t="b">
        <f>IF(
    RawData_Query[[#This Row],[CallWallStrike]]="",
    FALSE,
    ABS(RawData_Query[[#This Row],[CallWallStrike]] - RawData_Query[[#This Row],[Price]]) / RawData_Query[[#This Row],[Price]] &lt; 0.02
)</f>
        <v>0</v>
      </c>
      <c r="J13" t="b">
        <f>IF(
    RawData_Query[[#This Row],[PutWallStrike]]="",
    FALSE,
    ABS(RawData_Query[[#This Row],[PutWallStrike]] - RawData_Query[[#This Row],[Price]]) / RawData_Query[[#This Row],[Price]] &lt; 0.02
)</f>
        <v>0</v>
      </c>
      <c r="K13" t="str">
        <f>IF(RawData_Query[[#This Row],[FlipStrike]]="","",
   IF(RawData_Query[[#This Row],[FlipStrike]] &gt; RawData_Query[[#This Row],[Price]],"Below Flip","Above Flip")
)</f>
        <v>Below Flip</v>
      </c>
      <c r="L13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13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13" t="str">
        <f>IF(LogicEngineClean[[#This Row],[BullScore]]&gt;LogicEngineClean[[#This Row],[BearScore]],"Call",
   IF(LogicEngineClean[[#This Row],[BearScore]]&gt;LogicEngineClean[[#This Row],[BullScore]],"Put","Avoid")
)</f>
        <v>Avoid</v>
      </c>
      <c r="O13">
        <f>MAX(LogicEngineClean[[#This Row],[BullScore]],LogicEngineClean[[#This Row],[BearScore]])</f>
        <v>35</v>
      </c>
      <c r="P13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13">
        <f>IF(LogicEngineClean[[#This Row],[GammaRegime]]="Short Gamma",20,0)</f>
        <v>0</v>
      </c>
      <c r="R13">
        <f>IF(LogicEngineClean[[#This Row],[DeltaLean]]="Dealers Long",20,0)</f>
        <v>20</v>
      </c>
      <c r="S13">
        <f>IF(LogicEngineClean[[#This Row],[VannaBias]]="Upside Drift",20,
IF(LogicEngineClean[[#This Row],[VannaBias]]="Downside Drift",20,10))</f>
        <v>20</v>
      </c>
      <c r="T13">
        <f>IF(LogicEngineClean[[#This Row],[CharmBias]]="Sell Into Close",20,0)</f>
        <v>20</v>
      </c>
      <c r="U13">
        <f>IFERROR(IF(OR(LogicEngineClean[[#This Row],[CallWallFlag]]=TRUE,LogicEngineClean[[#This Row],[PutWallFlag]]=TRUE),10,0)
+
IF(LogicEngineClean[[#This Row],[FlipFlag]]="Below Flip",10,0),"")</f>
        <v>10</v>
      </c>
      <c r="V13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13" s="4" t="str" cm="1">
        <f t="array" ref="W13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14" spans="1:23" x14ac:dyDescent="0.25">
      <c r="A14" t="str">
        <f>RawData_Query[[#This Row],[Ticker]]</f>
        <v>FCX</v>
      </c>
      <c r="B14">
        <f>RawData_Query[[#This Row],[Tier]]</f>
        <v>2</v>
      </c>
      <c r="C14">
        <v>5</v>
      </c>
      <c r="D14" t="str">
        <f>IF(RawData_Query[[#This Row],[NetGamma]]&gt;0,"Long Gamma","Short Gamma")</f>
        <v>Long Gamma</v>
      </c>
      <c r="E14" t="str">
        <f>IF(RawData_Query[[#This Row],[NetDelta]]&gt;0,"Dealers Long","Dealers Short")</f>
        <v>Dealers Long</v>
      </c>
      <c r="F14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14" t="str">
        <f>IF(RawData_Query[[#This Row],[NetCharm]]&lt;0,"Sell Into Close","Buy Into Close")</f>
        <v>Sell Into Close</v>
      </c>
      <c r="H14" t="str" cm="1">
        <f t="array" ref="H14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14" t="b">
        <f>IF(
    RawData_Query[[#This Row],[CallWallStrike]]="",
    FALSE,
    ABS(RawData_Query[[#This Row],[CallWallStrike]] - RawData_Query[[#This Row],[Price]]) / RawData_Query[[#This Row],[Price]] &lt; 0.02
)</f>
        <v>0</v>
      </c>
      <c r="J14" t="b">
        <f>IF(
    RawData_Query[[#This Row],[PutWallStrike]]="",
    FALSE,
    ABS(RawData_Query[[#This Row],[PutWallStrike]] - RawData_Query[[#This Row],[Price]]) / RawData_Query[[#This Row],[Price]] &lt; 0.02
)</f>
        <v>0</v>
      </c>
      <c r="K14" t="str">
        <f>IF(RawData_Query[[#This Row],[FlipStrike]]="","",
   IF(RawData_Query[[#This Row],[FlipStrike]] &gt; RawData_Query[[#This Row],[Price]],"Below Flip","Above Flip")
)</f>
        <v>Above Flip</v>
      </c>
      <c r="L14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14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14" t="str">
        <f>IF(LogicEngineClean[[#This Row],[BullScore]]&gt;LogicEngineClean[[#This Row],[BearScore]],"Call",
   IF(LogicEngineClean[[#This Row],[BearScore]]&gt;LogicEngineClean[[#This Row],[BullScore]],"Put","Avoid")
)</f>
        <v>Put</v>
      </c>
      <c r="O14">
        <f>MAX(LogicEngineClean[[#This Row],[BullScore]],LogicEngineClean[[#This Row],[BearScore]])</f>
        <v>30</v>
      </c>
      <c r="P14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14">
        <f>IF(LogicEngineClean[[#This Row],[GammaRegime]]="Short Gamma",20,0)</f>
        <v>0</v>
      </c>
      <c r="R14">
        <f>IF(LogicEngineClean[[#This Row],[DeltaLean]]="Dealers Long",20,0)</f>
        <v>20</v>
      </c>
      <c r="S14">
        <f>IF(LogicEngineClean[[#This Row],[VannaBias]]="Upside Drift",20,
IF(LogicEngineClean[[#This Row],[VannaBias]]="Downside Drift",20,10))</f>
        <v>10</v>
      </c>
      <c r="T14">
        <f>IF(LogicEngineClean[[#This Row],[CharmBias]]="Sell Into Close",20,0)</f>
        <v>20</v>
      </c>
      <c r="U14">
        <f>IFERROR(IF(OR(LogicEngineClean[[#This Row],[CallWallFlag]]=TRUE,LogicEngineClean[[#This Row],[PutWallFlag]]=TRUE),10,0)
+
IF(LogicEngineClean[[#This Row],[FlipFlag]]="Below Flip",10,0),"")</f>
        <v>0</v>
      </c>
      <c r="V14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14" s="4" t="str" cm="1">
        <f t="array" ref="W14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15" spans="1:23" x14ac:dyDescent="0.25">
      <c r="A15" t="str">
        <f>RawData_Query[[#This Row],[Ticker]]</f>
        <v>CCJ</v>
      </c>
      <c r="B15">
        <f>RawData_Query[[#This Row],[Tier]]</f>
        <v>2</v>
      </c>
      <c r="C15">
        <v>5</v>
      </c>
      <c r="D15" t="str">
        <f>IF(RawData_Query[[#This Row],[NetGamma]]&gt;0,"Long Gamma","Short Gamma")</f>
        <v>Short Gamma</v>
      </c>
      <c r="E15" t="str">
        <f>IF(RawData_Query[[#This Row],[NetDelta]]&gt;0,"Dealers Long","Dealers Short")</f>
        <v>Dealers Long</v>
      </c>
      <c r="F15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15" t="str">
        <f>IF(RawData_Query[[#This Row],[NetCharm]]&lt;0,"Sell Into Close","Buy Into Close")</f>
        <v>Sell Into Close</v>
      </c>
      <c r="H15" t="str" cm="1">
        <f t="array" ref="H15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15" t="b">
        <f>IF(
    RawData_Query[[#This Row],[CallWallStrike]]="",
    FALSE,
    ABS(RawData_Query[[#This Row],[CallWallStrike]] - RawData_Query[[#This Row],[Price]]) / RawData_Query[[#This Row],[Price]] &lt; 0.02
)</f>
        <v>0</v>
      </c>
      <c r="J15" t="b">
        <f>IF(
    RawData_Query[[#This Row],[PutWallStrike]]="",
    FALSE,
    ABS(RawData_Query[[#This Row],[PutWallStrike]] - RawData_Query[[#This Row],[Price]]) / RawData_Query[[#This Row],[Price]] &lt; 0.02
)</f>
        <v>0</v>
      </c>
      <c r="K15" t="str">
        <f>IF(RawData_Query[[#This Row],[FlipStrike]]="","",
   IF(RawData_Query[[#This Row],[FlipStrike]] &gt; RawData_Query[[#This Row],[Price]],"Below Flip","Above Flip")
)</f>
        <v>Above Flip</v>
      </c>
      <c r="L15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15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40</v>
      </c>
      <c r="N15" t="str">
        <f>IF(LogicEngineClean[[#This Row],[BullScore]]&gt;LogicEngineClean[[#This Row],[BearScore]],"Call",
   IF(LogicEngineClean[[#This Row],[BearScore]]&gt;LogicEngineClean[[#This Row],[BullScore]],"Put","Avoid")
)</f>
        <v>Put</v>
      </c>
      <c r="O15">
        <f>MAX(LogicEngineClean[[#This Row],[BullScore]],LogicEngineClean[[#This Row],[BearScore]])</f>
        <v>40</v>
      </c>
      <c r="P15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15">
        <f>IF(LogicEngineClean[[#This Row],[GammaRegime]]="Short Gamma",20,0)</f>
        <v>20</v>
      </c>
      <c r="R15">
        <f>IF(LogicEngineClean[[#This Row],[DeltaLean]]="Dealers Long",20,0)</f>
        <v>20</v>
      </c>
      <c r="S15">
        <f>IF(LogicEngineClean[[#This Row],[VannaBias]]="Upside Drift",20,
IF(LogicEngineClean[[#This Row],[VannaBias]]="Downside Drift",20,10))</f>
        <v>20</v>
      </c>
      <c r="T15">
        <f>IF(LogicEngineClean[[#This Row],[CharmBias]]="Sell Into Close",20,0)</f>
        <v>20</v>
      </c>
      <c r="U15">
        <f>IFERROR(IF(OR(LogicEngineClean[[#This Row],[CallWallFlag]]=TRUE,LogicEngineClean[[#This Row],[PutWallFlag]]=TRUE),10,0)
+
IF(LogicEngineClean[[#This Row],[FlipFlag]]="Below Flip",10,0),"")</f>
        <v>0</v>
      </c>
      <c r="V15">
        <f>IFERROR(LogicEngineClean[[#This Row],[GammaScore]] + LogicEngineClean[[#This Row],[DeltaScore]] + LogicEngineClean[[#This Row],[VannaScore]] + LogicEngineClean[[#This Row],[CharmScore]] + LogicEngineClean[[#This Row],[WallFlipScore]],"")</f>
        <v>80</v>
      </c>
      <c r="W15" s="4" t="str" cm="1">
        <f t="array" ref="W15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Squeeze Up</v>
      </c>
    </row>
    <row r="16" spans="1:23" x14ac:dyDescent="0.25">
      <c r="A16" t="str">
        <f>RawData_Query[[#This Row],[Ticker]]</f>
        <v>NEM</v>
      </c>
      <c r="B16">
        <f>RawData_Query[[#This Row],[Tier]]</f>
        <v>2</v>
      </c>
      <c r="C16">
        <v>5</v>
      </c>
      <c r="D16" t="str">
        <f>IF(RawData_Query[[#This Row],[NetGamma]]&gt;0,"Long Gamma","Short Gamma")</f>
        <v>Short Gamma</v>
      </c>
      <c r="E16" t="str">
        <f>IF(RawData_Query[[#This Row],[NetDelta]]&gt;0,"Dealers Long","Dealers Short")</f>
        <v>Dealers Long</v>
      </c>
      <c r="F16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16" t="str">
        <f>IF(RawData_Query[[#This Row],[NetCharm]]&lt;0,"Sell Into Close","Buy Into Close")</f>
        <v>Sell Into Close</v>
      </c>
      <c r="H16" t="str" cm="1">
        <f t="array" ref="H16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16" t="b">
        <f>IF(
    RawData_Query[[#This Row],[CallWallStrike]]="",
    FALSE,
    ABS(RawData_Query[[#This Row],[CallWallStrike]] - RawData_Query[[#This Row],[Price]]) / RawData_Query[[#This Row],[Price]] &lt; 0.02
)</f>
        <v>0</v>
      </c>
      <c r="J16" t="b">
        <f>IF(
    RawData_Query[[#This Row],[PutWallStrike]]="",
    FALSE,
    ABS(RawData_Query[[#This Row],[PutWallStrike]] - RawData_Query[[#This Row],[Price]]) / RawData_Query[[#This Row],[Price]] &lt; 0.02
)</f>
        <v>0</v>
      </c>
      <c r="K16" t="str">
        <f>IF(RawData_Query[[#This Row],[FlipStrike]]="","",
   IF(RawData_Query[[#This Row],[FlipStrike]] &gt; RawData_Query[[#This Row],[Price]],"Below Flip","Above Flip")
)</f>
        <v>Above Flip</v>
      </c>
      <c r="L16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10</v>
      </c>
      <c r="M16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40</v>
      </c>
      <c r="N16" t="str">
        <f>IF(LogicEngineClean[[#This Row],[BullScore]]&gt;LogicEngineClean[[#This Row],[BearScore]],"Call",
   IF(LogicEngineClean[[#This Row],[BearScore]]&gt;LogicEngineClean[[#This Row],[BullScore]],"Put","Avoid")
)</f>
        <v>Put</v>
      </c>
      <c r="O16">
        <f>MAX(LogicEngineClean[[#This Row],[BullScore]],LogicEngineClean[[#This Row],[BearScore]])</f>
        <v>40</v>
      </c>
      <c r="P16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16">
        <f>IF(LogicEngineClean[[#This Row],[GammaRegime]]="Short Gamma",20,0)</f>
        <v>20</v>
      </c>
      <c r="R16">
        <f>IF(LogicEngineClean[[#This Row],[DeltaLean]]="Dealers Long",20,0)</f>
        <v>20</v>
      </c>
      <c r="S16">
        <f>IF(LogicEngineClean[[#This Row],[VannaBias]]="Upside Drift",20,
IF(LogicEngineClean[[#This Row],[VannaBias]]="Downside Drift",20,10))</f>
        <v>10</v>
      </c>
      <c r="T16">
        <f>IF(LogicEngineClean[[#This Row],[CharmBias]]="Sell Into Close",20,0)</f>
        <v>20</v>
      </c>
      <c r="U16">
        <f>IFERROR(IF(OR(LogicEngineClean[[#This Row],[CallWallFlag]]=TRUE,LogicEngineClean[[#This Row],[PutWallFlag]]=TRUE),10,0)
+
IF(LogicEngineClean[[#This Row],[FlipFlag]]="Below Flip",10,0),"")</f>
        <v>0</v>
      </c>
      <c r="V16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16" s="4" t="str" cm="1">
        <f t="array" ref="W16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17" spans="1:23" x14ac:dyDescent="0.25">
      <c r="A17" t="str">
        <f>RawData_Query[[#This Row],[Ticker]]</f>
        <v>VALE</v>
      </c>
      <c r="B17">
        <f>RawData_Query[[#This Row],[Tier]]</f>
        <v>2</v>
      </c>
      <c r="C17">
        <v>5</v>
      </c>
      <c r="D17" t="str">
        <f>IF(RawData_Query[[#This Row],[NetGamma]]&gt;0,"Long Gamma","Short Gamma")</f>
        <v>Long Gamma</v>
      </c>
      <c r="E17" t="str">
        <f>IF(RawData_Query[[#This Row],[NetDelta]]&gt;0,"Dealers Long","Dealers Short")</f>
        <v>Dealers Long</v>
      </c>
      <c r="F17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17" t="str">
        <f>IF(RawData_Query[[#This Row],[NetCharm]]&lt;0,"Sell Into Close","Buy Into Close")</f>
        <v>Sell Into Close</v>
      </c>
      <c r="H17" t="str" cm="1">
        <f t="array" ref="H17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17" t="b">
        <f>IF(
    RawData_Query[[#This Row],[CallWallStrike]]="",
    FALSE,
    ABS(RawData_Query[[#This Row],[CallWallStrike]] - RawData_Query[[#This Row],[Price]]) / RawData_Query[[#This Row],[Price]] &lt; 0.02
)</f>
        <v>0</v>
      </c>
      <c r="J17" t="b">
        <f>IF(
    RawData_Query[[#This Row],[PutWallStrike]]="",
    FALSE,
    ABS(RawData_Query[[#This Row],[PutWallStrike]] - RawData_Query[[#This Row],[Price]]) / RawData_Query[[#This Row],[Price]] &lt; 0.02
)</f>
        <v>0</v>
      </c>
      <c r="K17" t="str">
        <f>IF(RawData_Query[[#This Row],[FlipStrike]]="","",
   IF(RawData_Query[[#This Row],[FlipStrike]] &gt; RawData_Query[[#This Row],[Price]],"Below Flip","Above Flip")
)</f>
        <v>Above Flip</v>
      </c>
      <c r="L17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17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17" t="str">
        <f>IF(LogicEngineClean[[#This Row],[BullScore]]&gt;LogicEngineClean[[#This Row],[BearScore]],"Call",
   IF(LogicEngineClean[[#This Row],[BearScore]]&gt;LogicEngineClean[[#This Row],[BullScore]],"Put","Avoid")
)</f>
        <v>Put</v>
      </c>
      <c r="O17">
        <f>MAX(LogicEngineClean[[#This Row],[BullScore]],LogicEngineClean[[#This Row],[BearScore]])</f>
        <v>30</v>
      </c>
      <c r="P17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17">
        <f>IF(LogicEngineClean[[#This Row],[GammaRegime]]="Short Gamma",20,0)</f>
        <v>0</v>
      </c>
      <c r="R17">
        <f>IF(LogicEngineClean[[#This Row],[DeltaLean]]="Dealers Long",20,0)</f>
        <v>20</v>
      </c>
      <c r="S17">
        <f>IF(LogicEngineClean[[#This Row],[VannaBias]]="Upside Drift",20,
IF(LogicEngineClean[[#This Row],[VannaBias]]="Downside Drift",20,10))</f>
        <v>10</v>
      </c>
      <c r="T17">
        <f>IF(LogicEngineClean[[#This Row],[CharmBias]]="Sell Into Close",20,0)</f>
        <v>20</v>
      </c>
      <c r="U17">
        <f>IFERROR(IF(OR(LogicEngineClean[[#This Row],[CallWallFlag]]=TRUE,LogicEngineClean[[#This Row],[PutWallFlag]]=TRUE),10,0)
+
IF(LogicEngineClean[[#This Row],[FlipFlag]]="Below Flip",10,0),"")</f>
        <v>0</v>
      </c>
      <c r="V17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17" s="4" t="str" cm="1">
        <f t="array" ref="W17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18" spans="1:23" x14ac:dyDescent="0.25">
      <c r="A18" t="str">
        <f>RawData_Query[[#This Row],[Ticker]]</f>
        <v>IBM</v>
      </c>
      <c r="B18">
        <f>RawData_Query[[#This Row],[Tier]]</f>
        <v>1</v>
      </c>
      <c r="C18">
        <v>10</v>
      </c>
      <c r="D18" t="str">
        <f>IF(RawData_Query[[#This Row],[NetGamma]]&gt;0,"Long Gamma","Short Gamma")</f>
        <v>Long Gamma</v>
      </c>
      <c r="E18" t="str">
        <f>IF(RawData_Query[[#This Row],[NetDelta]]&gt;0,"Dealers Long","Dealers Short")</f>
        <v>Dealers Long</v>
      </c>
      <c r="F18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18" t="str">
        <f>IF(RawData_Query[[#This Row],[NetCharm]]&lt;0,"Sell Into Close","Buy Into Close")</f>
        <v>Sell Into Close</v>
      </c>
      <c r="H18" t="str" cm="1">
        <f t="array" ref="H18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18" t="b">
        <f>IF(
    RawData_Query[[#This Row],[CallWallStrike]]="",
    FALSE,
    ABS(RawData_Query[[#This Row],[CallWallStrike]] - RawData_Query[[#This Row],[Price]]) / RawData_Query[[#This Row],[Price]] &lt; 0.02
)</f>
        <v>0</v>
      </c>
      <c r="J18" t="b">
        <f>IF(
    RawData_Query[[#This Row],[PutWallStrike]]="",
    FALSE,
    ABS(RawData_Query[[#This Row],[PutWallStrike]] - RawData_Query[[#This Row],[Price]]) / RawData_Query[[#This Row],[Price]] &lt; 0.02
)</f>
        <v>0</v>
      </c>
      <c r="K18" t="str">
        <f>IF(RawData_Query[[#This Row],[FlipStrike]]="","",
   IF(RawData_Query[[#This Row],[FlipStrike]] &gt; RawData_Query[[#This Row],[Price]],"Below Flip","Above Flip")
)</f>
        <v>Above Flip</v>
      </c>
      <c r="L18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18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18" t="str">
        <f>IF(LogicEngineClean[[#This Row],[BullScore]]&gt;LogicEngineClean[[#This Row],[BearScore]],"Call",
   IF(LogicEngineClean[[#This Row],[BearScore]]&gt;LogicEngineClean[[#This Row],[BullScore]],"Put","Avoid")
)</f>
        <v>Put</v>
      </c>
      <c r="O18">
        <f>MAX(LogicEngineClean[[#This Row],[BullScore]],LogicEngineClean[[#This Row],[BearScore]])</f>
        <v>35</v>
      </c>
      <c r="P18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18">
        <f>IF(LogicEngineClean[[#This Row],[GammaRegime]]="Short Gamma",20,0)</f>
        <v>0</v>
      </c>
      <c r="R18">
        <f>IF(LogicEngineClean[[#This Row],[DeltaLean]]="Dealers Long",20,0)</f>
        <v>20</v>
      </c>
      <c r="S18">
        <f>IF(LogicEngineClean[[#This Row],[VannaBias]]="Upside Drift",20,
IF(LogicEngineClean[[#This Row],[VannaBias]]="Downside Drift",20,10))</f>
        <v>10</v>
      </c>
      <c r="T18">
        <f>IF(LogicEngineClean[[#This Row],[CharmBias]]="Sell Into Close",20,0)</f>
        <v>20</v>
      </c>
      <c r="U18">
        <f>IFERROR(IF(OR(LogicEngineClean[[#This Row],[CallWallFlag]]=TRUE,LogicEngineClean[[#This Row],[PutWallFlag]]=TRUE),10,0)
+
IF(LogicEngineClean[[#This Row],[FlipFlag]]="Below Flip",10,0),"")</f>
        <v>0</v>
      </c>
      <c r="V18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18" s="4" t="str" cm="1">
        <f t="array" ref="W18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19" spans="1:23" x14ac:dyDescent="0.25">
      <c r="A19" t="str">
        <f>RawData_Query[[#This Row],[Ticker]]</f>
        <v>CRWV</v>
      </c>
      <c r="B19">
        <f>RawData_Query[[#This Row],[Tier]]</f>
        <v>3</v>
      </c>
      <c r="C19">
        <v>0</v>
      </c>
      <c r="D19" t="str">
        <f>IF(RawData_Query[[#This Row],[NetGamma]]&gt;0,"Long Gamma","Short Gamma")</f>
        <v>Long Gamma</v>
      </c>
      <c r="E19" t="str">
        <f>IF(RawData_Query[[#This Row],[NetDelta]]&gt;0,"Dealers Long","Dealers Short")</f>
        <v>Dealers Long</v>
      </c>
      <c r="F19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19" t="str">
        <f>IF(RawData_Query[[#This Row],[NetCharm]]&lt;0,"Sell Into Close","Buy Into Close")</f>
        <v>Sell Into Close</v>
      </c>
      <c r="H19" t="str" cm="1">
        <f t="array" ref="H19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19" t="b">
        <f>IF(
    RawData_Query[[#This Row],[CallWallStrike]]="",
    FALSE,
    ABS(RawData_Query[[#This Row],[CallWallStrike]] - RawData_Query[[#This Row],[Price]]) / RawData_Query[[#This Row],[Price]] &lt; 0.02
)</f>
        <v>0</v>
      </c>
      <c r="J19" t="b">
        <f>IF(
    RawData_Query[[#This Row],[PutWallStrike]]="",
    FALSE,
    ABS(RawData_Query[[#This Row],[PutWallStrike]] - RawData_Query[[#This Row],[Price]]) / RawData_Query[[#This Row],[Price]] &lt; 0.02
)</f>
        <v>0</v>
      </c>
      <c r="K19" t="str">
        <f>IF(RawData_Query[[#This Row],[FlipStrike]]="","",
   IF(RawData_Query[[#This Row],[FlipStrike]] &gt; RawData_Query[[#This Row],[Price]],"Below Flip","Above Flip")
)</f>
        <v>Above Flip</v>
      </c>
      <c r="L19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19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25</v>
      </c>
      <c r="N19" t="str">
        <f>IF(LogicEngineClean[[#This Row],[BullScore]]&gt;LogicEngineClean[[#This Row],[BearScore]],"Call",
   IF(LogicEngineClean[[#This Row],[BearScore]]&gt;LogicEngineClean[[#This Row],[BullScore]],"Put","Avoid")
)</f>
        <v>Avoid</v>
      </c>
      <c r="O19">
        <f>MAX(LogicEngineClean[[#This Row],[BullScore]],LogicEngineClean[[#This Row],[BearScore]])</f>
        <v>25</v>
      </c>
      <c r="P19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19">
        <f>IF(LogicEngineClean[[#This Row],[GammaRegime]]="Short Gamma",20,0)</f>
        <v>0</v>
      </c>
      <c r="R19">
        <f>IF(LogicEngineClean[[#This Row],[DeltaLean]]="Dealers Long",20,0)</f>
        <v>20</v>
      </c>
      <c r="S19">
        <f>IF(LogicEngineClean[[#This Row],[VannaBias]]="Upside Drift",20,
IF(LogicEngineClean[[#This Row],[VannaBias]]="Downside Drift",20,10))</f>
        <v>20</v>
      </c>
      <c r="T19">
        <f>IF(LogicEngineClean[[#This Row],[CharmBias]]="Sell Into Close",20,0)</f>
        <v>20</v>
      </c>
      <c r="U19">
        <f>IFERROR(IF(OR(LogicEngineClean[[#This Row],[CallWallFlag]]=TRUE,LogicEngineClean[[#This Row],[PutWallFlag]]=TRUE),10,0)
+
IF(LogicEngineClean[[#This Row],[FlipFlag]]="Below Flip",10,0),"")</f>
        <v>0</v>
      </c>
      <c r="V19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19" s="4" t="str" cm="1">
        <f t="array" ref="W19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20" spans="1:23" x14ac:dyDescent="0.25">
      <c r="A20" t="str">
        <f>RawData_Query[[#This Row],[Ticker]]</f>
        <v>CSCO</v>
      </c>
      <c r="B20">
        <f>RawData_Query[[#This Row],[Tier]]</f>
        <v>1</v>
      </c>
      <c r="C20">
        <v>10</v>
      </c>
      <c r="D20" t="str">
        <f>IF(RawData_Query[[#This Row],[NetGamma]]&gt;0,"Long Gamma","Short Gamma")</f>
        <v>Long Gamma</v>
      </c>
      <c r="E20" t="str">
        <f>IF(RawData_Query[[#This Row],[NetDelta]]&gt;0,"Dealers Long","Dealers Short")</f>
        <v>Dealers Long</v>
      </c>
      <c r="F20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20" t="str">
        <f>IF(RawData_Query[[#This Row],[NetCharm]]&lt;0,"Sell Into Close","Buy Into Close")</f>
        <v>Sell Into Close</v>
      </c>
      <c r="H20" t="str" cm="1">
        <f t="array" ref="H20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20" t="b">
        <f>IF(
    RawData_Query[[#This Row],[CallWallStrike]]="",
    FALSE,
    ABS(RawData_Query[[#This Row],[CallWallStrike]] - RawData_Query[[#This Row],[Price]]) / RawData_Query[[#This Row],[Price]] &lt; 0.02
)</f>
        <v>1</v>
      </c>
      <c r="J20" t="b">
        <f>IF(
    RawData_Query[[#This Row],[PutWallStrike]]="",
    FALSE,
    ABS(RawData_Query[[#This Row],[PutWallStrike]] - RawData_Query[[#This Row],[Price]]) / RawData_Query[[#This Row],[Price]] &lt; 0.02
)</f>
        <v>0</v>
      </c>
      <c r="K20" t="str">
        <f>IF(RawData_Query[[#This Row],[FlipStrike]]="","",
   IF(RawData_Query[[#This Row],[FlipStrike]] &gt; RawData_Query[[#This Row],[Price]],"Below Flip","Above Flip")
)</f>
        <v>Above Flip</v>
      </c>
      <c r="L20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30</v>
      </c>
      <c r="M20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20" t="str">
        <f>IF(LogicEngineClean[[#This Row],[BullScore]]&gt;LogicEngineClean[[#This Row],[BearScore]],"Call",
   IF(LogicEngineClean[[#This Row],[BearScore]]&gt;LogicEngineClean[[#This Row],[BullScore]],"Put","Avoid")
)</f>
        <v>Avoid</v>
      </c>
      <c r="O20">
        <f>MAX(LogicEngineClean[[#This Row],[BullScore]],LogicEngineClean[[#This Row],[BearScore]])</f>
        <v>30</v>
      </c>
      <c r="P20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20">
        <f>IF(LogicEngineClean[[#This Row],[GammaRegime]]="Short Gamma",20,0)</f>
        <v>0</v>
      </c>
      <c r="R20">
        <f>IF(LogicEngineClean[[#This Row],[DeltaLean]]="Dealers Long",20,0)</f>
        <v>20</v>
      </c>
      <c r="S20">
        <f>IF(LogicEngineClean[[#This Row],[VannaBias]]="Upside Drift",20,
IF(LogicEngineClean[[#This Row],[VannaBias]]="Downside Drift",20,10))</f>
        <v>10</v>
      </c>
      <c r="T20">
        <f>IF(LogicEngineClean[[#This Row],[CharmBias]]="Sell Into Close",20,0)</f>
        <v>20</v>
      </c>
      <c r="U20">
        <f>IFERROR(IF(OR(LogicEngineClean[[#This Row],[CallWallFlag]]=TRUE,LogicEngineClean[[#This Row],[PutWallFlag]]=TRUE),10,0)
+
IF(LogicEngineClean[[#This Row],[FlipFlag]]="Below Flip",10,0),"")</f>
        <v>10</v>
      </c>
      <c r="V20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20" s="4" t="str" cm="1">
        <f t="array" ref="W20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Range Reversion</v>
      </c>
    </row>
    <row r="21" spans="1:23" x14ac:dyDescent="0.25">
      <c r="A21" t="str">
        <f>RawData_Query[[#This Row],[Ticker]]</f>
        <v>PANW</v>
      </c>
      <c r="B21">
        <f>RawData_Query[[#This Row],[Tier]]</f>
        <v>1</v>
      </c>
      <c r="C21">
        <v>10</v>
      </c>
      <c r="D21" t="str">
        <f>IF(RawData_Query[[#This Row],[NetGamma]]&gt;0,"Long Gamma","Short Gamma")</f>
        <v>Short Gamma</v>
      </c>
      <c r="E21" t="str">
        <f>IF(RawData_Query[[#This Row],[NetDelta]]&gt;0,"Dealers Long","Dealers Short")</f>
        <v>Dealers Long</v>
      </c>
      <c r="F21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21" t="str">
        <f>IF(RawData_Query[[#This Row],[NetCharm]]&lt;0,"Sell Into Close","Buy Into Close")</f>
        <v>Sell Into Close</v>
      </c>
      <c r="H21" t="str" cm="1">
        <f t="array" ref="H21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21" t="b">
        <f>IF(
    RawData_Query[[#This Row],[CallWallStrike]]="",
    FALSE,
    ABS(RawData_Query[[#This Row],[CallWallStrike]] - RawData_Query[[#This Row],[Price]]) / RawData_Query[[#This Row],[Price]] &lt; 0.02
)</f>
        <v>0</v>
      </c>
      <c r="J21" t="b">
        <f>IF(
    RawData_Query[[#This Row],[PutWallStrike]]="",
    FALSE,
    ABS(RawData_Query[[#This Row],[PutWallStrike]] - RawData_Query[[#This Row],[Price]]) / RawData_Query[[#This Row],[Price]] &lt; 0.02
)</f>
        <v>0</v>
      </c>
      <c r="K21" t="str">
        <f>IF(RawData_Query[[#This Row],[FlipStrike]]="","",
   IF(RawData_Query[[#This Row],[FlipStrike]] &gt; RawData_Query[[#This Row],[Price]],"Below Flip","Above Flip")
)</f>
        <v>Above Flip</v>
      </c>
      <c r="L21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21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21" t="str">
        <f>IF(LogicEngineClean[[#This Row],[BullScore]]&gt;LogicEngineClean[[#This Row],[BearScore]],"Call",
   IF(LogicEngineClean[[#This Row],[BearScore]]&gt;LogicEngineClean[[#This Row],[BullScore]],"Put","Avoid")
)</f>
        <v>Put</v>
      </c>
      <c r="O21">
        <f>MAX(LogicEngineClean[[#This Row],[BullScore]],LogicEngineClean[[#This Row],[BearScore]])</f>
        <v>45</v>
      </c>
      <c r="P21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21">
        <f>IF(LogicEngineClean[[#This Row],[GammaRegime]]="Short Gamma",20,0)</f>
        <v>20</v>
      </c>
      <c r="R21">
        <f>IF(LogicEngineClean[[#This Row],[DeltaLean]]="Dealers Long",20,0)</f>
        <v>20</v>
      </c>
      <c r="S21">
        <f>IF(LogicEngineClean[[#This Row],[VannaBias]]="Upside Drift",20,
IF(LogicEngineClean[[#This Row],[VannaBias]]="Downside Drift",20,10))</f>
        <v>10</v>
      </c>
      <c r="T21">
        <f>IF(LogicEngineClean[[#This Row],[CharmBias]]="Sell Into Close",20,0)</f>
        <v>20</v>
      </c>
      <c r="U21">
        <f>IFERROR(IF(OR(LogicEngineClean[[#This Row],[CallWallFlag]]=TRUE,LogicEngineClean[[#This Row],[PutWallFlag]]=TRUE),10,0)
+
IF(LogicEngineClean[[#This Row],[FlipFlag]]="Below Flip",10,0),"")</f>
        <v>0</v>
      </c>
      <c r="V21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21" s="4" t="str" cm="1">
        <f t="array" ref="W21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22" spans="1:23" x14ac:dyDescent="0.25">
      <c r="A22" t="str">
        <f>RawData_Query[[#This Row],[Ticker]]</f>
        <v>ORCL</v>
      </c>
      <c r="B22">
        <f>RawData_Query[[#This Row],[Tier]]</f>
        <v>1</v>
      </c>
      <c r="C22">
        <v>10</v>
      </c>
      <c r="D22" t="str">
        <f>IF(RawData_Query[[#This Row],[NetGamma]]&gt;0,"Long Gamma","Short Gamma")</f>
        <v>Short Gamma</v>
      </c>
      <c r="E22" t="str">
        <f>IF(RawData_Query[[#This Row],[NetDelta]]&gt;0,"Dealers Long","Dealers Short")</f>
        <v>Dealers Long</v>
      </c>
      <c r="F22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/>
      </c>
      <c r="G22" t="str">
        <f>IF(RawData_Query[[#This Row],[NetCharm]]&lt;0,"Sell Into Close","Buy Into Close")</f>
        <v>Sell Into Close</v>
      </c>
      <c r="H22" t="str" cm="1">
        <f t="array" ref="H22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22" t="b">
        <f>IF(
    RawData_Query[[#This Row],[CallWallStrike]]="",
    FALSE,
    ABS(RawData_Query[[#This Row],[CallWallStrike]] - RawData_Query[[#This Row],[Price]]) / RawData_Query[[#This Row],[Price]] &lt; 0.02
)</f>
        <v>0</v>
      </c>
      <c r="J22" t="b">
        <f>IF(
    RawData_Query[[#This Row],[PutWallStrike]]="",
    FALSE,
    ABS(RawData_Query[[#This Row],[PutWallStrike]] - RawData_Query[[#This Row],[Price]]) / RawData_Query[[#This Row],[Price]] &lt; 0.02
)</f>
        <v>0</v>
      </c>
      <c r="K22" t="str">
        <f>IF(RawData_Query[[#This Row],[FlipStrike]]="","",
   IF(RawData_Query[[#This Row],[FlipStrike]] &gt; RawData_Query[[#This Row],[Price]],"Below Flip","Above Flip")
)</f>
        <v>Above Flip</v>
      </c>
      <c r="L22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22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22" t="str">
        <f>IF(LogicEngineClean[[#This Row],[BullScore]]&gt;LogicEngineClean[[#This Row],[BearScore]],"Call",
   IF(LogicEngineClean[[#This Row],[BearScore]]&gt;LogicEngineClean[[#This Row],[BullScore]],"Put","Avoid")
)</f>
        <v>Put</v>
      </c>
      <c r="O22">
        <f>MAX(LogicEngineClean[[#This Row],[BullScore]],LogicEngineClean[[#This Row],[BearScore]])</f>
        <v>45</v>
      </c>
      <c r="P22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22">
        <f>IF(LogicEngineClean[[#This Row],[GammaRegime]]="Short Gamma",20,0)</f>
        <v>20</v>
      </c>
      <c r="R22">
        <f>IF(LogicEngineClean[[#This Row],[DeltaLean]]="Dealers Long",20,0)</f>
        <v>20</v>
      </c>
      <c r="S22">
        <f>IF(LogicEngineClean[[#This Row],[VannaBias]]="Upside Drift",20,
IF(LogicEngineClean[[#This Row],[VannaBias]]="Downside Drift",20,10))</f>
        <v>10</v>
      </c>
      <c r="T22">
        <f>IF(LogicEngineClean[[#This Row],[CharmBias]]="Sell Into Close",20,0)</f>
        <v>20</v>
      </c>
      <c r="U22">
        <f>IFERROR(IF(OR(LogicEngineClean[[#This Row],[CallWallFlag]]=TRUE,LogicEngineClean[[#This Row],[PutWallFlag]]=TRUE),10,0)
+
IF(LogicEngineClean[[#This Row],[FlipFlag]]="Below Flip",10,0),"")</f>
        <v>0</v>
      </c>
      <c r="V22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22" s="4" t="str" cm="1">
        <f t="array" ref="W22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23" spans="1:23" x14ac:dyDescent="0.25">
      <c r="A23" t="str">
        <f>RawData_Query[[#This Row],[Ticker]]</f>
        <v>NET</v>
      </c>
      <c r="B23">
        <f>RawData_Query[[#This Row],[Tier]]</f>
        <v>1</v>
      </c>
      <c r="C23">
        <v>10</v>
      </c>
      <c r="D23" t="str">
        <f>IF(RawData_Query[[#This Row],[NetGamma]]&gt;0,"Long Gamma","Short Gamma")</f>
        <v>Short Gamma</v>
      </c>
      <c r="E23" t="str">
        <f>IF(RawData_Query[[#This Row],[NetDelta]]&gt;0,"Dealers Long","Dealers Short")</f>
        <v>Dealers Long</v>
      </c>
      <c r="F23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23" t="str">
        <f>IF(RawData_Query[[#This Row],[NetCharm]]&lt;0,"Sell Into Close","Buy Into Close")</f>
        <v>Sell Into Close</v>
      </c>
      <c r="H23" t="str" cm="1">
        <f t="array" ref="H23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23" t="b">
        <f>IF(
    RawData_Query[[#This Row],[CallWallStrike]]="",
    FALSE,
    ABS(RawData_Query[[#This Row],[CallWallStrike]] - RawData_Query[[#This Row],[Price]]) / RawData_Query[[#This Row],[Price]] &lt; 0.02
)</f>
        <v>0</v>
      </c>
      <c r="J23" t="b">
        <f>IF(
    RawData_Query[[#This Row],[PutWallStrike]]="",
    FALSE,
    ABS(RawData_Query[[#This Row],[PutWallStrike]] - RawData_Query[[#This Row],[Price]]) / RawData_Query[[#This Row],[Price]] &lt; 0.02
)</f>
        <v>0</v>
      </c>
      <c r="K23" t="str">
        <f>IF(RawData_Query[[#This Row],[FlipStrike]]="","",
   IF(RawData_Query[[#This Row],[FlipStrike]] &gt; RawData_Query[[#This Row],[Price]],"Below Flip","Above Flip")
)</f>
        <v>Above Flip</v>
      </c>
      <c r="L23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23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23" t="str">
        <f>IF(LogicEngineClean[[#This Row],[BullScore]]&gt;LogicEngineClean[[#This Row],[BearScore]],"Call",
   IF(LogicEngineClean[[#This Row],[BearScore]]&gt;LogicEngineClean[[#This Row],[BullScore]],"Put","Avoid")
)</f>
        <v>Put</v>
      </c>
      <c r="O23">
        <f>MAX(LogicEngineClean[[#This Row],[BullScore]],LogicEngineClean[[#This Row],[BearScore]])</f>
        <v>45</v>
      </c>
      <c r="P23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23">
        <f>IF(LogicEngineClean[[#This Row],[GammaRegime]]="Short Gamma",20,0)</f>
        <v>20</v>
      </c>
      <c r="R23">
        <f>IF(LogicEngineClean[[#This Row],[DeltaLean]]="Dealers Long",20,0)</f>
        <v>20</v>
      </c>
      <c r="S23">
        <f>IF(LogicEngineClean[[#This Row],[VannaBias]]="Upside Drift",20,
IF(LogicEngineClean[[#This Row],[VannaBias]]="Downside Drift",20,10))</f>
        <v>10</v>
      </c>
      <c r="T23">
        <f>IF(LogicEngineClean[[#This Row],[CharmBias]]="Sell Into Close",20,0)</f>
        <v>20</v>
      </c>
      <c r="U23">
        <f>IFERROR(IF(OR(LogicEngineClean[[#This Row],[CallWallFlag]]=TRUE,LogicEngineClean[[#This Row],[PutWallFlag]]=TRUE),10,0)
+
IF(LogicEngineClean[[#This Row],[FlipFlag]]="Below Flip",10,0),"")</f>
        <v>0</v>
      </c>
      <c r="V23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23" s="4" t="str" cm="1">
        <f t="array" ref="W23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24" spans="1:23" x14ac:dyDescent="0.25">
      <c r="A24" t="str">
        <f>RawData_Query[[#This Row],[Ticker]]</f>
        <v>CRWD</v>
      </c>
      <c r="B24">
        <f>RawData_Query[[#This Row],[Tier]]</f>
        <v>1</v>
      </c>
      <c r="C24">
        <v>10</v>
      </c>
      <c r="D24" t="str">
        <f>IF(RawData_Query[[#This Row],[NetGamma]]&gt;0,"Long Gamma","Short Gamma")</f>
        <v>Long Gamma</v>
      </c>
      <c r="E24" t="str">
        <f>IF(RawData_Query[[#This Row],[NetDelta]]&gt;0,"Dealers Long","Dealers Short")</f>
        <v>Dealers Long</v>
      </c>
      <c r="F24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24" t="str">
        <f>IF(RawData_Query[[#This Row],[NetCharm]]&lt;0,"Sell Into Close","Buy Into Close")</f>
        <v>Sell Into Close</v>
      </c>
      <c r="H24" t="str" cm="1">
        <f t="array" ref="H24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24" t="b">
        <f>IF(
    RawData_Query[[#This Row],[CallWallStrike]]="",
    FALSE,
    ABS(RawData_Query[[#This Row],[CallWallStrike]] - RawData_Query[[#This Row],[Price]]) / RawData_Query[[#This Row],[Price]] &lt; 0.02
)</f>
        <v>0</v>
      </c>
      <c r="J24" t="b">
        <f>IF(
    RawData_Query[[#This Row],[PutWallStrike]]="",
    FALSE,
    ABS(RawData_Query[[#This Row],[PutWallStrike]] - RawData_Query[[#This Row],[Price]]) / RawData_Query[[#This Row],[Price]] &lt; 0.02
)</f>
        <v>0</v>
      </c>
      <c r="K24" t="str">
        <f>IF(RawData_Query[[#This Row],[FlipStrike]]="","",
   IF(RawData_Query[[#This Row],[FlipStrike]] &gt; RawData_Query[[#This Row],[Price]],"Below Flip","Above Flip")
)</f>
        <v>Below Flip</v>
      </c>
      <c r="L24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24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24" t="str">
        <f>IF(LogicEngineClean[[#This Row],[BullScore]]&gt;LogicEngineClean[[#This Row],[BearScore]],"Call",
   IF(LogicEngineClean[[#This Row],[BearScore]]&gt;LogicEngineClean[[#This Row],[BullScore]],"Put","Avoid")
)</f>
        <v>Put</v>
      </c>
      <c r="O24">
        <f>MAX(LogicEngineClean[[#This Row],[BullScore]],LogicEngineClean[[#This Row],[BearScore]])</f>
        <v>35</v>
      </c>
      <c r="P24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24">
        <f>IF(LogicEngineClean[[#This Row],[GammaRegime]]="Short Gamma",20,0)</f>
        <v>0</v>
      </c>
      <c r="R24">
        <f>IF(LogicEngineClean[[#This Row],[DeltaLean]]="Dealers Long",20,0)</f>
        <v>20</v>
      </c>
      <c r="S24">
        <f>IF(LogicEngineClean[[#This Row],[VannaBias]]="Upside Drift",20,
IF(LogicEngineClean[[#This Row],[VannaBias]]="Downside Drift",20,10))</f>
        <v>10</v>
      </c>
      <c r="T24">
        <f>IF(LogicEngineClean[[#This Row],[CharmBias]]="Sell Into Close",20,0)</f>
        <v>20</v>
      </c>
      <c r="U24">
        <f>IFERROR(IF(OR(LogicEngineClean[[#This Row],[CallWallFlag]]=TRUE,LogicEngineClean[[#This Row],[PutWallFlag]]=TRUE),10,0)
+
IF(LogicEngineClean[[#This Row],[FlipFlag]]="Below Flip",10,0),"")</f>
        <v>10</v>
      </c>
      <c r="V24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24" s="4" t="str" cm="1">
        <f t="array" ref="W24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25" spans="1:23" x14ac:dyDescent="0.25">
      <c r="A25" t="str">
        <f>RawData_Query[[#This Row],[Ticker]]</f>
        <v>CRM</v>
      </c>
      <c r="B25">
        <f>RawData_Query[[#This Row],[Tier]]</f>
        <v>1</v>
      </c>
      <c r="C25">
        <v>10</v>
      </c>
      <c r="D25" t="str">
        <f>IF(RawData_Query[[#This Row],[NetGamma]]&gt;0,"Long Gamma","Short Gamma")</f>
        <v>Short Gamma</v>
      </c>
      <c r="E25" t="str">
        <f>IF(RawData_Query[[#This Row],[NetDelta]]&gt;0,"Dealers Long","Dealers Short")</f>
        <v>Dealers Long</v>
      </c>
      <c r="F25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25" t="str">
        <f>IF(RawData_Query[[#This Row],[NetCharm]]&lt;0,"Sell Into Close","Buy Into Close")</f>
        <v>Sell Into Close</v>
      </c>
      <c r="H25" t="str" cm="1">
        <f t="array" ref="H25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25" t="b">
        <f>IF(
    RawData_Query[[#This Row],[CallWallStrike]]="",
    FALSE,
    ABS(RawData_Query[[#This Row],[CallWallStrike]] - RawData_Query[[#This Row],[Price]]) / RawData_Query[[#This Row],[Price]] &lt; 0.02
)</f>
        <v>0</v>
      </c>
      <c r="J25" t="b">
        <f>IF(
    RawData_Query[[#This Row],[PutWallStrike]]="",
    FALSE,
    ABS(RawData_Query[[#This Row],[PutWallStrike]] - RawData_Query[[#This Row],[Price]]) / RawData_Query[[#This Row],[Price]] &lt; 0.02
)</f>
        <v>0</v>
      </c>
      <c r="K25" t="str">
        <f>IF(RawData_Query[[#This Row],[FlipStrike]]="","",
   IF(RawData_Query[[#This Row],[FlipStrike]] &gt; RawData_Query[[#This Row],[Price]],"Below Flip","Above Flip")
)</f>
        <v>Above Flip</v>
      </c>
      <c r="L25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25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25" t="str">
        <f>IF(LogicEngineClean[[#This Row],[BullScore]]&gt;LogicEngineClean[[#This Row],[BearScore]],"Call",
   IF(LogicEngineClean[[#This Row],[BearScore]]&gt;LogicEngineClean[[#This Row],[BullScore]],"Put","Avoid")
)</f>
        <v>Put</v>
      </c>
      <c r="O25">
        <f>MAX(LogicEngineClean[[#This Row],[BullScore]],LogicEngineClean[[#This Row],[BearScore]])</f>
        <v>45</v>
      </c>
      <c r="P25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25">
        <f>IF(LogicEngineClean[[#This Row],[GammaRegime]]="Short Gamma",20,0)</f>
        <v>20</v>
      </c>
      <c r="R25">
        <f>IF(LogicEngineClean[[#This Row],[DeltaLean]]="Dealers Long",20,0)</f>
        <v>20</v>
      </c>
      <c r="S25">
        <f>IF(LogicEngineClean[[#This Row],[VannaBias]]="Upside Drift",20,
IF(LogicEngineClean[[#This Row],[VannaBias]]="Downside Drift",20,10))</f>
        <v>10</v>
      </c>
      <c r="T25">
        <f>IF(LogicEngineClean[[#This Row],[CharmBias]]="Sell Into Close",20,0)</f>
        <v>20</v>
      </c>
      <c r="U25">
        <f>IFERROR(IF(OR(LogicEngineClean[[#This Row],[CallWallFlag]]=TRUE,LogicEngineClean[[#This Row],[PutWallFlag]]=TRUE),10,0)
+
IF(LogicEngineClean[[#This Row],[FlipFlag]]="Below Flip",10,0),"")</f>
        <v>0</v>
      </c>
      <c r="V25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25" s="4" t="str" cm="1">
        <f t="array" ref="W25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26" spans="1:23" x14ac:dyDescent="0.25">
      <c r="A26" t="str">
        <f>RawData_Query[[#This Row],[Ticker]]</f>
        <v>NOW</v>
      </c>
      <c r="B26">
        <f>RawData_Query[[#This Row],[Tier]]</f>
        <v>1</v>
      </c>
      <c r="C26">
        <v>10</v>
      </c>
      <c r="D26" t="str">
        <f>IF(RawData_Query[[#This Row],[NetGamma]]&gt;0,"Long Gamma","Short Gamma")</f>
        <v>Long Gamma</v>
      </c>
      <c r="E26" t="str">
        <f>IF(RawData_Query[[#This Row],[NetDelta]]&gt;0,"Dealers Long","Dealers Short")</f>
        <v>Dealers Long</v>
      </c>
      <c r="F26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26" t="str">
        <f>IF(RawData_Query[[#This Row],[NetCharm]]&lt;0,"Sell Into Close","Buy Into Close")</f>
        <v>Sell Into Close</v>
      </c>
      <c r="H26" t="str" cm="1">
        <f t="array" ref="H26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26" t="b">
        <f>IF(
    RawData_Query[[#This Row],[CallWallStrike]]="",
    FALSE,
    ABS(RawData_Query[[#This Row],[CallWallStrike]] - RawData_Query[[#This Row],[Price]]) / RawData_Query[[#This Row],[Price]] &lt; 0.02
)</f>
        <v>0</v>
      </c>
      <c r="J26" t="b">
        <f>IF(
    RawData_Query[[#This Row],[PutWallStrike]]="",
    FALSE,
    ABS(RawData_Query[[#This Row],[PutWallStrike]] - RawData_Query[[#This Row],[Price]]) / RawData_Query[[#This Row],[Price]] &lt; 0.02
)</f>
        <v>0</v>
      </c>
      <c r="K26" t="str">
        <f>IF(RawData_Query[[#This Row],[FlipStrike]]="","",
   IF(RawData_Query[[#This Row],[FlipStrike]] &gt; RawData_Query[[#This Row],[Price]],"Below Flip","Above Flip")
)</f>
        <v>Above Flip</v>
      </c>
      <c r="L26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26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26" t="str">
        <f>IF(LogicEngineClean[[#This Row],[BullScore]]&gt;LogicEngineClean[[#This Row],[BearScore]],"Call",
   IF(LogicEngineClean[[#This Row],[BearScore]]&gt;LogicEngineClean[[#This Row],[BullScore]],"Put","Avoid")
)</f>
        <v>Put</v>
      </c>
      <c r="O26">
        <f>MAX(LogicEngineClean[[#This Row],[BullScore]],LogicEngineClean[[#This Row],[BearScore]])</f>
        <v>35</v>
      </c>
      <c r="P26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26">
        <f>IF(LogicEngineClean[[#This Row],[GammaRegime]]="Short Gamma",20,0)</f>
        <v>0</v>
      </c>
      <c r="R26">
        <f>IF(LogicEngineClean[[#This Row],[DeltaLean]]="Dealers Long",20,0)</f>
        <v>20</v>
      </c>
      <c r="S26">
        <f>IF(LogicEngineClean[[#This Row],[VannaBias]]="Upside Drift",20,
IF(LogicEngineClean[[#This Row],[VannaBias]]="Downside Drift",20,10))</f>
        <v>10</v>
      </c>
      <c r="T26">
        <f>IF(LogicEngineClean[[#This Row],[CharmBias]]="Sell Into Close",20,0)</f>
        <v>20</v>
      </c>
      <c r="U26">
        <f>IFERROR(IF(OR(LogicEngineClean[[#This Row],[CallWallFlag]]=TRUE,LogicEngineClean[[#This Row],[PutWallFlag]]=TRUE),10,0)
+
IF(LogicEngineClean[[#This Row],[FlipFlag]]="Below Flip",10,0),"")</f>
        <v>0</v>
      </c>
      <c r="V26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26" s="4" t="str" cm="1">
        <f t="array" ref="W26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27" spans="1:23" x14ac:dyDescent="0.25">
      <c r="A27" t="str">
        <f>RawData_Query[[#This Row],[Ticker]]</f>
        <v>ADBE</v>
      </c>
      <c r="B27">
        <f>RawData_Query[[#This Row],[Tier]]</f>
        <v>1</v>
      </c>
      <c r="C27">
        <v>10</v>
      </c>
      <c r="D27" t="str">
        <f>IF(RawData_Query[[#This Row],[NetGamma]]&gt;0,"Long Gamma","Short Gamma")</f>
        <v>Short Gamma</v>
      </c>
      <c r="E27" t="str">
        <f>IF(RawData_Query[[#This Row],[NetDelta]]&gt;0,"Dealers Long","Dealers Short")</f>
        <v>Dealers Short</v>
      </c>
      <c r="F27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27" t="str">
        <f>IF(RawData_Query[[#This Row],[NetCharm]]&lt;0,"Sell Into Close","Buy Into Close")</f>
        <v>Sell Into Close</v>
      </c>
      <c r="H27" t="str" cm="1">
        <f t="array" ref="H27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27" t="b">
        <f>IF(
    RawData_Query[[#This Row],[CallWallStrike]]="",
    FALSE,
    ABS(RawData_Query[[#This Row],[CallWallStrike]] - RawData_Query[[#This Row],[Price]]) / RawData_Query[[#This Row],[Price]] &lt; 0.02
)</f>
        <v>0</v>
      </c>
      <c r="J27" t="b">
        <f>IF(
    RawData_Query[[#This Row],[PutWallStrike]]="",
    FALSE,
    ABS(RawData_Query[[#This Row],[PutWallStrike]] - RawData_Query[[#This Row],[Price]]) / RawData_Query[[#This Row],[Price]] &lt; 0.02
)</f>
        <v>0</v>
      </c>
      <c r="K27" t="str">
        <f>IF(RawData_Query[[#This Row],[FlipStrike]]="","",
   IF(RawData_Query[[#This Row],[FlipStrike]] &gt; RawData_Query[[#This Row],[Price]],"Below Flip","Above Flip")
)</f>
        <v>Above Flip</v>
      </c>
      <c r="L27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27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27" t="str">
        <f>IF(LogicEngineClean[[#This Row],[BullScore]]&gt;LogicEngineClean[[#This Row],[BearScore]],"Call",
   IF(LogicEngineClean[[#This Row],[BearScore]]&gt;LogicEngineClean[[#This Row],[BullScore]],"Put","Avoid")
)</f>
        <v>Put</v>
      </c>
      <c r="O27">
        <f>MAX(LogicEngineClean[[#This Row],[BullScore]],LogicEngineClean[[#This Row],[BearScore]])</f>
        <v>35</v>
      </c>
      <c r="P27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Short</v>
      </c>
      <c r="Q27">
        <f>IF(LogicEngineClean[[#This Row],[GammaRegime]]="Short Gamma",20,0)</f>
        <v>20</v>
      </c>
      <c r="R27">
        <f>IF(LogicEngineClean[[#This Row],[DeltaLean]]="Dealers Long",20,0)</f>
        <v>0</v>
      </c>
      <c r="S27">
        <f>IF(LogicEngineClean[[#This Row],[VannaBias]]="Upside Drift",20,
IF(LogicEngineClean[[#This Row],[VannaBias]]="Downside Drift",20,10))</f>
        <v>10</v>
      </c>
      <c r="T27">
        <f>IF(LogicEngineClean[[#This Row],[CharmBias]]="Sell Into Close",20,0)</f>
        <v>20</v>
      </c>
      <c r="U27">
        <f>IFERROR(IF(OR(LogicEngineClean[[#This Row],[CallWallFlag]]=TRUE,LogicEngineClean[[#This Row],[PutWallFlag]]=TRUE),10,0)
+
IF(LogicEngineClean[[#This Row],[FlipFlag]]="Below Flip",10,0),"")</f>
        <v>0</v>
      </c>
      <c r="V27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27" s="4" t="str" cm="1">
        <f t="array" ref="W27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28" spans="1:23" x14ac:dyDescent="0.25">
      <c r="A28" t="str">
        <f>RawData_Query[[#This Row],[Ticker]]</f>
        <v>AAOI</v>
      </c>
      <c r="B28">
        <f>RawData_Query[[#This Row],[Tier]]</f>
        <v>3</v>
      </c>
      <c r="C28">
        <v>0</v>
      </c>
      <c r="D28" t="str">
        <f>IF(RawData_Query[[#This Row],[NetGamma]]&gt;0,"Long Gamma","Short Gamma")</f>
        <v>Long Gamma</v>
      </c>
      <c r="E28" t="str">
        <f>IF(RawData_Query[[#This Row],[NetDelta]]&gt;0,"Dealers Long","Dealers Short")</f>
        <v>Dealers Long</v>
      </c>
      <c r="F28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28" t="str">
        <f>IF(RawData_Query[[#This Row],[NetCharm]]&lt;0,"Sell Into Close","Buy Into Close")</f>
        <v>Sell Into Close</v>
      </c>
      <c r="H28" t="str" cm="1">
        <f t="array" ref="H28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28" t="b">
        <f>IF(
    RawData_Query[[#This Row],[CallWallStrike]]="",
    FALSE,
    ABS(RawData_Query[[#This Row],[CallWallStrike]] - RawData_Query[[#This Row],[Price]]) / RawData_Query[[#This Row],[Price]] &lt; 0.02
)</f>
        <v>0</v>
      </c>
      <c r="J28" t="b">
        <f>IF(
    RawData_Query[[#This Row],[PutWallStrike]]="",
    FALSE,
    ABS(RawData_Query[[#This Row],[PutWallStrike]] - RawData_Query[[#This Row],[Price]]) / RawData_Query[[#This Row],[Price]] &lt; 0.02
)</f>
        <v>0</v>
      </c>
      <c r="K28" t="str">
        <f>IF(RawData_Query[[#This Row],[FlipStrike]]="","",
   IF(RawData_Query[[#This Row],[FlipStrike]] &gt; RawData_Query[[#This Row],[Price]],"Below Flip","Above Flip")
)</f>
        <v>Above Flip</v>
      </c>
      <c r="L28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28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25</v>
      </c>
      <c r="N28" t="str">
        <f>IF(LogicEngineClean[[#This Row],[BullScore]]&gt;LogicEngineClean[[#This Row],[BearScore]],"Call",
   IF(LogicEngineClean[[#This Row],[BearScore]]&gt;LogicEngineClean[[#This Row],[BullScore]],"Put","Avoid")
)</f>
        <v>Put</v>
      </c>
      <c r="O28">
        <f>MAX(LogicEngineClean[[#This Row],[BullScore]],LogicEngineClean[[#This Row],[BearScore]])</f>
        <v>25</v>
      </c>
      <c r="P28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28">
        <f>IF(LogicEngineClean[[#This Row],[GammaRegime]]="Short Gamma",20,0)</f>
        <v>0</v>
      </c>
      <c r="R28">
        <f>IF(LogicEngineClean[[#This Row],[DeltaLean]]="Dealers Long",20,0)</f>
        <v>20</v>
      </c>
      <c r="S28">
        <f>IF(LogicEngineClean[[#This Row],[VannaBias]]="Upside Drift",20,
IF(LogicEngineClean[[#This Row],[VannaBias]]="Downside Drift",20,10))</f>
        <v>10</v>
      </c>
      <c r="T28">
        <f>IF(LogicEngineClean[[#This Row],[CharmBias]]="Sell Into Close",20,0)</f>
        <v>20</v>
      </c>
      <c r="U28">
        <f>IFERROR(IF(OR(LogicEngineClean[[#This Row],[CallWallFlag]]=TRUE,LogicEngineClean[[#This Row],[PutWallFlag]]=TRUE),10,0)
+
IF(LogicEngineClean[[#This Row],[FlipFlag]]="Below Flip",10,0),"")</f>
        <v>0</v>
      </c>
      <c r="V28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28" s="4" t="str" cm="1">
        <f t="array" ref="W28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29" spans="1:23" x14ac:dyDescent="0.25">
      <c r="A29" t="str">
        <f>RawData_Query[[#This Row],[Ticker]]</f>
        <v>QCOM</v>
      </c>
      <c r="B29">
        <f>RawData_Query[[#This Row],[Tier]]</f>
        <v>1</v>
      </c>
      <c r="C29">
        <v>10</v>
      </c>
      <c r="D29" t="str">
        <f>IF(RawData_Query[[#This Row],[NetGamma]]&gt;0,"Long Gamma","Short Gamma")</f>
        <v>Short Gamma</v>
      </c>
      <c r="E29" t="str">
        <f>IF(RawData_Query[[#This Row],[NetDelta]]&gt;0,"Dealers Long","Dealers Short")</f>
        <v>Dealers Long</v>
      </c>
      <c r="F29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Pressure</v>
      </c>
      <c r="G29" t="str">
        <f>IF(RawData_Query[[#This Row],[NetCharm]]&lt;0,"Sell Into Close","Buy Into Close")</f>
        <v>Sell Into Close</v>
      </c>
      <c r="H29" t="str" cm="1">
        <f t="array" ref="H29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Mixed Downside</v>
      </c>
      <c r="I29" t="b">
        <f>IF(
    RawData_Query[[#This Row],[CallWallStrike]]="",
    FALSE,
    ABS(RawData_Query[[#This Row],[CallWallStrike]] - RawData_Query[[#This Row],[Price]]) / RawData_Query[[#This Row],[Price]] &lt; 0.02
)</f>
        <v>0</v>
      </c>
      <c r="J29" t="b">
        <f>IF(
    RawData_Query[[#This Row],[PutWallStrike]]="",
    FALSE,
    ABS(RawData_Query[[#This Row],[PutWallStrike]] - RawData_Query[[#This Row],[Price]]) / RawData_Query[[#This Row],[Price]] &lt; 0.02
)</f>
        <v>0</v>
      </c>
      <c r="K29" t="str">
        <f>IF(RawData_Query[[#This Row],[FlipStrike]]="","",
   IF(RawData_Query[[#This Row],[FlipStrike]] &gt; RawData_Query[[#This Row],[Price]],"Below Flip","Above Flip")
)</f>
        <v>Above Flip</v>
      </c>
      <c r="L29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29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29" t="str">
        <f>IF(LogicEngineClean[[#This Row],[BullScore]]&gt;LogicEngineClean[[#This Row],[BearScore]],"Call",
   IF(LogicEngineClean[[#This Row],[BearScore]]&gt;LogicEngineClean[[#This Row],[BullScore]],"Put","Avoid")
)</f>
        <v>Put</v>
      </c>
      <c r="O29">
        <f>MAX(LogicEngineClean[[#This Row],[BullScore]],LogicEngineClean[[#This Row],[BearScore]])</f>
        <v>45</v>
      </c>
      <c r="P29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29">
        <f>IF(LogicEngineClean[[#This Row],[GammaRegime]]="Short Gamma",20,0)</f>
        <v>20</v>
      </c>
      <c r="R29">
        <f>IF(LogicEngineClean[[#This Row],[DeltaLean]]="Dealers Long",20,0)</f>
        <v>20</v>
      </c>
      <c r="S29">
        <f>IF(LogicEngineClean[[#This Row],[VannaBias]]="Upside Drift",20,
IF(LogicEngineClean[[#This Row],[VannaBias]]="Downside Drift",20,10))</f>
        <v>10</v>
      </c>
      <c r="T29">
        <f>IF(LogicEngineClean[[#This Row],[CharmBias]]="Sell Into Close",20,0)</f>
        <v>20</v>
      </c>
      <c r="U29">
        <f>IFERROR(IF(OR(LogicEngineClean[[#This Row],[CallWallFlag]]=TRUE,LogicEngineClean[[#This Row],[PutWallFlag]]=TRUE),10,0)
+
IF(LogicEngineClean[[#This Row],[FlipFlag]]="Below Flip",10,0),"")</f>
        <v>0</v>
      </c>
      <c r="V29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29" s="4" t="str" cm="1">
        <f t="array" ref="W29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30" spans="1:23" x14ac:dyDescent="0.25">
      <c r="A30" t="str">
        <f>RawData_Query[[#This Row],[Ticker]]</f>
        <v>MU</v>
      </c>
      <c r="B30">
        <f>RawData_Query[[#This Row],[Tier]]</f>
        <v>1</v>
      </c>
      <c r="C30">
        <v>10</v>
      </c>
      <c r="D30" t="str">
        <f>IF(RawData_Query[[#This Row],[NetGamma]]&gt;0,"Long Gamma","Short Gamma")</f>
        <v>Short Gamma</v>
      </c>
      <c r="E30" t="str">
        <f>IF(RawData_Query[[#This Row],[NetDelta]]&gt;0,"Dealers Long","Dealers Short")</f>
        <v>Dealers Long</v>
      </c>
      <c r="F30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Pressure</v>
      </c>
      <c r="G30" t="str">
        <f>IF(RawData_Query[[#This Row],[NetCharm]]&lt;0,"Sell Into Close","Buy Into Close")</f>
        <v>Sell Into Close</v>
      </c>
      <c r="H30" t="str" cm="1">
        <f t="array" ref="H30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Mixed Downside</v>
      </c>
      <c r="I30" t="b">
        <f>IF(
    RawData_Query[[#This Row],[CallWallStrike]]="",
    FALSE,
    ABS(RawData_Query[[#This Row],[CallWallStrike]] - RawData_Query[[#This Row],[Price]]) / RawData_Query[[#This Row],[Price]] &lt; 0.02
)</f>
        <v>0</v>
      </c>
      <c r="J30" t="b">
        <f>IF(
    RawData_Query[[#This Row],[PutWallStrike]]="",
    FALSE,
    ABS(RawData_Query[[#This Row],[PutWallStrike]] - RawData_Query[[#This Row],[Price]]) / RawData_Query[[#This Row],[Price]] &lt; 0.02
)</f>
        <v>0</v>
      </c>
      <c r="K30" t="str">
        <f>IF(RawData_Query[[#This Row],[FlipStrike]]="","",
   IF(RawData_Query[[#This Row],[FlipStrike]] &gt; RawData_Query[[#This Row],[Price]],"Below Flip","Above Flip")
)</f>
        <v>Above Flip</v>
      </c>
      <c r="L30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30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30" t="str">
        <f>IF(LogicEngineClean[[#This Row],[BullScore]]&gt;LogicEngineClean[[#This Row],[BearScore]],"Call",
   IF(LogicEngineClean[[#This Row],[BearScore]]&gt;LogicEngineClean[[#This Row],[BullScore]],"Put","Avoid")
)</f>
        <v>Put</v>
      </c>
      <c r="O30">
        <f>MAX(LogicEngineClean[[#This Row],[BullScore]],LogicEngineClean[[#This Row],[BearScore]])</f>
        <v>45</v>
      </c>
      <c r="P30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30">
        <f>IF(LogicEngineClean[[#This Row],[GammaRegime]]="Short Gamma",20,0)</f>
        <v>20</v>
      </c>
      <c r="R30">
        <f>IF(LogicEngineClean[[#This Row],[DeltaLean]]="Dealers Long",20,0)</f>
        <v>20</v>
      </c>
      <c r="S30">
        <f>IF(LogicEngineClean[[#This Row],[VannaBias]]="Upside Drift",20,
IF(LogicEngineClean[[#This Row],[VannaBias]]="Downside Drift",20,10))</f>
        <v>10</v>
      </c>
      <c r="T30">
        <f>IF(LogicEngineClean[[#This Row],[CharmBias]]="Sell Into Close",20,0)</f>
        <v>20</v>
      </c>
      <c r="U30">
        <f>IFERROR(IF(OR(LogicEngineClean[[#This Row],[CallWallFlag]]=TRUE,LogicEngineClean[[#This Row],[PutWallFlag]]=TRUE),10,0)
+
IF(LogicEngineClean[[#This Row],[FlipFlag]]="Below Flip",10,0),"")</f>
        <v>0</v>
      </c>
      <c r="V30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30" s="4" t="str" cm="1">
        <f t="array" ref="W30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31" spans="1:23" x14ac:dyDescent="0.25">
      <c r="A31" t="str">
        <f>RawData_Query[[#This Row],[Ticker]]</f>
        <v>TSM</v>
      </c>
      <c r="B31">
        <f>RawData_Query[[#This Row],[Tier]]</f>
        <v>1</v>
      </c>
      <c r="C31">
        <v>10</v>
      </c>
      <c r="D31" t="str">
        <f>IF(RawData_Query[[#This Row],[NetGamma]]&gt;0,"Long Gamma","Short Gamma")</f>
        <v>Long Gamma</v>
      </c>
      <c r="E31" t="str">
        <f>IF(RawData_Query[[#This Row],[NetDelta]]&gt;0,"Dealers Long","Dealers Short")</f>
        <v>Dealers Long</v>
      </c>
      <c r="F31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31" t="str">
        <f>IF(RawData_Query[[#This Row],[NetCharm]]&lt;0,"Sell Into Close","Buy Into Close")</f>
        <v>Sell Into Close</v>
      </c>
      <c r="H31" t="str" cm="1">
        <f t="array" ref="H31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31" t="b">
        <f>IF(
    RawData_Query[[#This Row],[CallWallStrike]]="",
    FALSE,
    ABS(RawData_Query[[#This Row],[CallWallStrike]] - RawData_Query[[#This Row],[Price]]) / RawData_Query[[#This Row],[Price]] &lt; 0.02
)</f>
        <v>0</v>
      </c>
      <c r="J31" t="b">
        <f>IF(
    RawData_Query[[#This Row],[PutWallStrike]]="",
    FALSE,
    ABS(RawData_Query[[#This Row],[PutWallStrike]] - RawData_Query[[#This Row],[Price]]) / RawData_Query[[#This Row],[Price]] &lt; 0.02
)</f>
        <v>0</v>
      </c>
      <c r="K31" t="str">
        <f>IF(RawData_Query[[#This Row],[FlipStrike]]="","",
   IF(RawData_Query[[#This Row],[FlipStrike]] &gt; RawData_Query[[#This Row],[Price]],"Below Flip","Above Flip")
)</f>
        <v>Above Flip</v>
      </c>
      <c r="L31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31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31" t="str">
        <f>IF(LogicEngineClean[[#This Row],[BullScore]]&gt;LogicEngineClean[[#This Row],[BearScore]],"Call",
   IF(LogicEngineClean[[#This Row],[BearScore]]&gt;LogicEngineClean[[#This Row],[BullScore]],"Put","Avoid")
)</f>
        <v>Put</v>
      </c>
      <c r="O31">
        <f>MAX(LogicEngineClean[[#This Row],[BullScore]],LogicEngineClean[[#This Row],[BearScore]])</f>
        <v>35</v>
      </c>
      <c r="P31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31">
        <f>IF(LogicEngineClean[[#This Row],[GammaRegime]]="Short Gamma",20,0)</f>
        <v>0</v>
      </c>
      <c r="R31">
        <f>IF(LogicEngineClean[[#This Row],[DeltaLean]]="Dealers Long",20,0)</f>
        <v>20</v>
      </c>
      <c r="S31">
        <f>IF(LogicEngineClean[[#This Row],[VannaBias]]="Upside Drift",20,
IF(LogicEngineClean[[#This Row],[VannaBias]]="Downside Drift",20,10))</f>
        <v>10</v>
      </c>
      <c r="T31">
        <f>IF(LogicEngineClean[[#This Row],[CharmBias]]="Sell Into Close",20,0)</f>
        <v>20</v>
      </c>
      <c r="U31">
        <f>IFERROR(IF(OR(LogicEngineClean[[#This Row],[CallWallFlag]]=TRUE,LogicEngineClean[[#This Row],[PutWallFlag]]=TRUE),10,0)
+
IF(LogicEngineClean[[#This Row],[FlipFlag]]="Below Flip",10,0),"")</f>
        <v>0</v>
      </c>
      <c r="V31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31" s="4" t="str" cm="1">
        <f t="array" ref="W31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32" spans="1:23" x14ac:dyDescent="0.25">
      <c r="A32" t="str">
        <f>RawData_Query[[#This Row],[Ticker]]</f>
        <v>AMAT</v>
      </c>
      <c r="B32">
        <f>RawData_Query[[#This Row],[Tier]]</f>
        <v>2</v>
      </c>
      <c r="C32">
        <v>5</v>
      </c>
      <c r="D32" t="str">
        <f>IF(RawData_Query[[#This Row],[NetGamma]]&gt;0,"Long Gamma","Short Gamma")</f>
        <v>Long Gamma</v>
      </c>
      <c r="E32" t="str">
        <f>IF(RawData_Query[[#This Row],[NetDelta]]&gt;0,"Dealers Long","Dealers Short")</f>
        <v>Dealers Long</v>
      </c>
      <c r="F32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32" t="str">
        <f>IF(RawData_Query[[#This Row],[NetCharm]]&lt;0,"Sell Into Close","Buy Into Close")</f>
        <v>Sell Into Close</v>
      </c>
      <c r="H32" t="str" cm="1">
        <f t="array" ref="H32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32" t="b">
        <f>IF(
    RawData_Query[[#This Row],[CallWallStrike]]="",
    FALSE,
    ABS(RawData_Query[[#This Row],[CallWallStrike]] - RawData_Query[[#This Row],[Price]]) / RawData_Query[[#This Row],[Price]] &lt; 0.02
)</f>
        <v>0</v>
      </c>
      <c r="J32" t="b">
        <f>IF(
    RawData_Query[[#This Row],[PutWallStrike]]="",
    FALSE,
    ABS(RawData_Query[[#This Row],[PutWallStrike]] - RawData_Query[[#This Row],[Price]]) / RawData_Query[[#This Row],[Price]] &lt; 0.02
)</f>
        <v>0</v>
      </c>
      <c r="K32" t="str">
        <f>IF(RawData_Query[[#This Row],[FlipStrike]]="","",
   IF(RawData_Query[[#This Row],[FlipStrike]] &gt; RawData_Query[[#This Row],[Price]],"Below Flip","Above Flip")
)</f>
        <v>Above Flip</v>
      </c>
      <c r="L32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32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32" t="str">
        <f>IF(LogicEngineClean[[#This Row],[BullScore]]&gt;LogicEngineClean[[#This Row],[BearScore]],"Call",
   IF(LogicEngineClean[[#This Row],[BearScore]]&gt;LogicEngineClean[[#This Row],[BullScore]],"Put","Avoid")
)</f>
        <v>Put</v>
      </c>
      <c r="O32">
        <f>MAX(LogicEngineClean[[#This Row],[BullScore]],LogicEngineClean[[#This Row],[BearScore]])</f>
        <v>30</v>
      </c>
      <c r="P32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32">
        <f>IF(LogicEngineClean[[#This Row],[GammaRegime]]="Short Gamma",20,0)</f>
        <v>0</v>
      </c>
      <c r="R32">
        <f>IF(LogicEngineClean[[#This Row],[DeltaLean]]="Dealers Long",20,0)</f>
        <v>20</v>
      </c>
      <c r="S32">
        <f>IF(LogicEngineClean[[#This Row],[VannaBias]]="Upside Drift",20,
IF(LogicEngineClean[[#This Row],[VannaBias]]="Downside Drift",20,10))</f>
        <v>10</v>
      </c>
      <c r="T32">
        <f>IF(LogicEngineClean[[#This Row],[CharmBias]]="Sell Into Close",20,0)</f>
        <v>20</v>
      </c>
      <c r="U32">
        <f>IFERROR(IF(OR(LogicEngineClean[[#This Row],[CallWallFlag]]=TRUE,LogicEngineClean[[#This Row],[PutWallFlag]]=TRUE),10,0)
+
IF(LogicEngineClean[[#This Row],[FlipFlag]]="Below Flip",10,0),"")</f>
        <v>0</v>
      </c>
      <c r="V32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32" s="4" t="str" cm="1">
        <f t="array" ref="W32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33" spans="1:23" x14ac:dyDescent="0.25">
      <c r="A33" t="str">
        <f>RawData_Query[[#This Row],[Ticker]]</f>
        <v>AMD</v>
      </c>
      <c r="B33">
        <f>RawData_Query[[#This Row],[Tier]]</f>
        <v>1</v>
      </c>
      <c r="C33">
        <v>10</v>
      </c>
      <c r="D33" t="str">
        <f>IF(RawData_Query[[#This Row],[NetGamma]]&gt;0,"Long Gamma","Short Gamma")</f>
        <v>Long Gamma</v>
      </c>
      <c r="E33" t="str">
        <f>IF(RawData_Query[[#This Row],[NetDelta]]&gt;0,"Dealers Long","Dealers Short")</f>
        <v>Dealers Long</v>
      </c>
      <c r="F33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33" t="str">
        <f>IF(RawData_Query[[#This Row],[NetCharm]]&lt;0,"Sell Into Close","Buy Into Close")</f>
        <v>Sell Into Close</v>
      </c>
      <c r="H33" t="str" cm="1">
        <f t="array" ref="H33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33" t="b">
        <f>IF(
    RawData_Query[[#This Row],[CallWallStrike]]="",
    FALSE,
    ABS(RawData_Query[[#This Row],[CallWallStrike]] - RawData_Query[[#This Row],[Price]]) / RawData_Query[[#This Row],[Price]] &lt; 0.02
)</f>
        <v>0</v>
      </c>
      <c r="J33" t="b">
        <f>IF(
    RawData_Query[[#This Row],[PutWallStrike]]="",
    FALSE,
    ABS(RawData_Query[[#This Row],[PutWallStrike]] - RawData_Query[[#This Row],[Price]]) / RawData_Query[[#This Row],[Price]] &lt; 0.02
)</f>
        <v>0</v>
      </c>
      <c r="K33" t="str">
        <f>IF(RawData_Query[[#This Row],[FlipStrike]]="","",
   IF(RawData_Query[[#This Row],[FlipStrike]] &gt; RawData_Query[[#This Row],[Price]],"Below Flip","Above Flip")
)</f>
        <v>Below Flip</v>
      </c>
      <c r="L33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33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33" t="str">
        <f>IF(LogicEngineClean[[#This Row],[BullScore]]&gt;LogicEngineClean[[#This Row],[BearScore]],"Call",
   IF(LogicEngineClean[[#This Row],[BearScore]]&gt;LogicEngineClean[[#This Row],[BullScore]],"Put","Avoid")
)</f>
        <v>Put</v>
      </c>
      <c r="O33">
        <f>MAX(LogicEngineClean[[#This Row],[BullScore]],LogicEngineClean[[#This Row],[BearScore]])</f>
        <v>35</v>
      </c>
      <c r="P33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33">
        <f>IF(LogicEngineClean[[#This Row],[GammaRegime]]="Short Gamma",20,0)</f>
        <v>0</v>
      </c>
      <c r="R33">
        <f>IF(LogicEngineClean[[#This Row],[DeltaLean]]="Dealers Long",20,0)</f>
        <v>20</v>
      </c>
      <c r="S33">
        <f>IF(LogicEngineClean[[#This Row],[VannaBias]]="Upside Drift",20,
IF(LogicEngineClean[[#This Row],[VannaBias]]="Downside Drift",20,10))</f>
        <v>10</v>
      </c>
      <c r="T33">
        <f>IF(LogicEngineClean[[#This Row],[CharmBias]]="Sell Into Close",20,0)</f>
        <v>20</v>
      </c>
      <c r="U33">
        <f>IFERROR(IF(OR(LogicEngineClean[[#This Row],[CallWallFlag]]=TRUE,LogicEngineClean[[#This Row],[PutWallFlag]]=TRUE),10,0)
+
IF(LogicEngineClean[[#This Row],[FlipFlag]]="Below Flip",10,0),"")</f>
        <v>10</v>
      </c>
      <c r="V33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33" s="4" t="str" cm="1">
        <f t="array" ref="W33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34" spans="1:23" x14ac:dyDescent="0.25">
      <c r="A34" t="str">
        <f>RawData_Query[[#This Row],[Ticker]]</f>
        <v>INTC</v>
      </c>
      <c r="B34">
        <f>RawData_Query[[#This Row],[Tier]]</f>
        <v>2</v>
      </c>
      <c r="C34">
        <v>5</v>
      </c>
      <c r="D34" t="str">
        <f>IF(RawData_Query[[#This Row],[NetGamma]]&gt;0,"Long Gamma","Short Gamma")</f>
        <v>Long Gamma</v>
      </c>
      <c r="E34" t="str">
        <f>IF(RawData_Query[[#This Row],[NetDelta]]&gt;0,"Dealers Long","Dealers Short")</f>
        <v>Dealers Long</v>
      </c>
      <c r="F34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34" t="str">
        <f>IF(RawData_Query[[#This Row],[NetCharm]]&lt;0,"Sell Into Close","Buy Into Close")</f>
        <v>Sell Into Close</v>
      </c>
      <c r="H34" t="str" cm="1">
        <f t="array" ref="H34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34" t="b">
        <f>IF(
    RawData_Query[[#This Row],[CallWallStrike]]="",
    FALSE,
    ABS(RawData_Query[[#This Row],[CallWallStrike]] - RawData_Query[[#This Row],[Price]]) / RawData_Query[[#This Row],[Price]] &lt; 0.02
)</f>
        <v>0</v>
      </c>
      <c r="J34" t="b">
        <f>IF(
    RawData_Query[[#This Row],[PutWallStrike]]="",
    FALSE,
    ABS(RawData_Query[[#This Row],[PutWallStrike]] - RawData_Query[[#This Row],[Price]]) / RawData_Query[[#This Row],[Price]] &lt; 0.02
)</f>
        <v>0</v>
      </c>
      <c r="K34" t="str">
        <f>IF(RawData_Query[[#This Row],[FlipStrike]]="","",
   IF(RawData_Query[[#This Row],[FlipStrike]] &gt; RawData_Query[[#This Row],[Price]],"Below Flip","Above Flip")
)</f>
        <v>Above Flip</v>
      </c>
      <c r="L34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34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34" t="str">
        <f>IF(LogicEngineClean[[#This Row],[BullScore]]&gt;LogicEngineClean[[#This Row],[BearScore]],"Call",
   IF(LogicEngineClean[[#This Row],[BearScore]]&gt;LogicEngineClean[[#This Row],[BullScore]],"Put","Avoid")
)</f>
        <v>Put</v>
      </c>
      <c r="O34">
        <f>MAX(LogicEngineClean[[#This Row],[BullScore]],LogicEngineClean[[#This Row],[BearScore]])</f>
        <v>30</v>
      </c>
      <c r="P34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34">
        <f>IF(LogicEngineClean[[#This Row],[GammaRegime]]="Short Gamma",20,0)</f>
        <v>0</v>
      </c>
      <c r="R34">
        <f>IF(LogicEngineClean[[#This Row],[DeltaLean]]="Dealers Long",20,0)</f>
        <v>20</v>
      </c>
      <c r="S34">
        <f>IF(LogicEngineClean[[#This Row],[VannaBias]]="Upside Drift",20,
IF(LogicEngineClean[[#This Row],[VannaBias]]="Downside Drift",20,10))</f>
        <v>10</v>
      </c>
      <c r="T34">
        <f>IF(LogicEngineClean[[#This Row],[CharmBias]]="Sell Into Close",20,0)</f>
        <v>20</v>
      </c>
      <c r="U34">
        <f>IFERROR(IF(OR(LogicEngineClean[[#This Row],[CallWallFlag]]=TRUE,LogicEngineClean[[#This Row],[PutWallFlag]]=TRUE),10,0)
+
IF(LogicEngineClean[[#This Row],[FlipFlag]]="Below Flip",10,0),"")</f>
        <v>0</v>
      </c>
      <c r="V34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34" s="4" t="str" cm="1">
        <f t="array" ref="W34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35" spans="1:23" x14ac:dyDescent="0.25">
      <c r="A35" t="str">
        <f>RawData_Query[[#This Row],[Ticker]]</f>
        <v>SMCI</v>
      </c>
      <c r="B35">
        <f>RawData_Query[[#This Row],[Tier]]</f>
        <v>2</v>
      </c>
      <c r="C35">
        <v>5</v>
      </c>
      <c r="D35" t="str">
        <f>IF(RawData_Query[[#This Row],[NetGamma]]&gt;0,"Long Gamma","Short Gamma")</f>
        <v>Short Gamma</v>
      </c>
      <c r="E35" t="str">
        <f>IF(RawData_Query[[#This Row],[NetDelta]]&gt;0,"Dealers Long","Dealers Short")</f>
        <v>Dealers Long</v>
      </c>
      <c r="F35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Pressure</v>
      </c>
      <c r="G35" t="str">
        <f>IF(RawData_Query[[#This Row],[NetCharm]]&lt;0,"Sell Into Close","Buy Into Close")</f>
        <v>Sell Into Close</v>
      </c>
      <c r="H35" t="str" cm="1">
        <f t="array" ref="H35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Mixed Downside</v>
      </c>
      <c r="I35" t="b">
        <f>IF(
    RawData_Query[[#This Row],[CallWallStrike]]="",
    FALSE,
    ABS(RawData_Query[[#This Row],[CallWallStrike]] - RawData_Query[[#This Row],[Price]]) / RawData_Query[[#This Row],[Price]] &lt; 0.02
)</f>
        <v>0</v>
      </c>
      <c r="J35" t="b">
        <f>IF(
    RawData_Query[[#This Row],[PutWallStrike]]="",
    FALSE,
    ABS(RawData_Query[[#This Row],[PutWallStrike]] - RawData_Query[[#This Row],[Price]]) / RawData_Query[[#This Row],[Price]] &lt; 0.02
)</f>
        <v>0</v>
      </c>
      <c r="K35" t="str">
        <f>IF(RawData_Query[[#This Row],[FlipStrike]]="","",
   IF(RawData_Query[[#This Row],[FlipStrike]] &gt; RawData_Query[[#This Row],[Price]],"Below Flip","Above Flip")
)</f>
        <v>Above Flip</v>
      </c>
      <c r="L35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10</v>
      </c>
      <c r="M35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40</v>
      </c>
      <c r="N35" t="str">
        <f>IF(LogicEngineClean[[#This Row],[BullScore]]&gt;LogicEngineClean[[#This Row],[BearScore]],"Call",
   IF(LogicEngineClean[[#This Row],[BearScore]]&gt;LogicEngineClean[[#This Row],[BullScore]],"Put","Avoid")
)</f>
        <v>Put</v>
      </c>
      <c r="O35">
        <f>MAX(LogicEngineClean[[#This Row],[BullScore]],LogicEngineClean[[#This Row],[BearScore]])</f>
        <v>40</v>
      </c>
      <c r="P35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35">
        <f>IF(LogicEngineClean[[#This Row],[GammaRegime]]="Short Gamma",20,0)</f>
        <v>20</v>
      </c>
      <c r="R35">
        <f>IF(LogicEngineClean[[#This Row],[DeltaLean]]="Dealers Long",20,0)</f>
        <v>20</v>
      </c>
      <c r="S35">
        <f>IF(LogicEngineClean[[#This Row],[VannaBias]]="Upside Drift",20,
IF(LogicEngineClean[[#This Row],[VannaBias]]="Downside Drift",20,10))</f>
        <v>10</v>
      </c>
      <c r="T35">
        <f>IF(LogicEngineClean[[#This Row],[CharmBias]]="Sell Into Close",20,0)</f>
        <v>20</v>
      </c>
      <c r="U35">
        <f>IFERROR(IF(OR(LogicEngineClean[[#This Row],[CallWallFlag]]=TRUE,LogicEngineClean[[#This Row],[PutWallFlag]]=TRUE),10,0)
+
IF(LogicEngineClean[[#This Row],[FlipFlag]]="Below Flip",10,0),"")</f>
        <v>0</v>
      </c>
      <c r="V35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35" s="4" t="str" cm="1">
        <f t="array" ref="W35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36" spans="1:23" x14ac:dyDescent="0.25">
      <c r="A36" t="str">
        <f>RawData_Query[[#This Row],[Ticker]]</f>
        <v>AVGO</v>
      </c>
      <c r="B36">
        <f>RawData_Query[[#This Row],[Tier]]</f>
        <v>1</v>
      </c>
      <c r="C36">
        <v>10</v>
      </c>
      <c r="D36" t="str">
        <f>IF(RawData_Query[[#This Row],[NetGamma]]&gt;0,"Long Gamma","Short Gamma")</f>
        <v>Long Gamma</v>
      </c>
      <c r="E36" t="str">
        <f>IF(RawData_Query[[#This Row],[NetDelta]]&gt;0,"Dealers Long","Dealers Short")</f>
        <v>Dealers Long</v>
      </c>
      <c r="F36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36" t="str">
        <f>IF(RawData_Query[[#This Row],[NetCharm]]&lt;0,"Sell Into Close","Buy Into Close")</f>
        <v>Sell Into Close</v>
      </c>
      <c r="H36" t="str" cm="1">
        <f t="array" ref="H36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36" t="b">
        <f>IF(
    RawData_Query[[#This Row],[CallWallStrike]]="",
    FALSE,
    ABS(RawData_Query[[#This Row],[CallWallStrike]] - RawData_Query[[#This Row],[Price]]) / RawData_Query[[#This Row],[Price]] &lt; 0.02
)</f>
        <v>1</v>
      </c>
      <c r="J36" t="b">
        <f>IF(
    RawData_Query[[#This Row],[PutWallStrike]]="",
    FALSE,
    ABS(RawData_Query[[#This Row],[PutWallStrike]] - RawData_Query[[#This Row],[Price]]) / RawData_Query[[#This Row],[Price]] &lt; 0.02
)</f>
        <v>0</v>
      </c>
      <c r="K36" t="str">
        <f>IF(RawData_Query[[#This Row],[FlipStrike]]="","",
   IF(RawData_Query[[#This Row],[FlipStrike]] &gt; RawData_Query[[#This Row],[Price]],"Below Flip","Above Flip")
)</f>
        <v>Above Flip</v>
      </c>
      <c r="L36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30</v>
      </c>
      <c r="M36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36" t="str">
        <f>IF(LogicEngineClean[[#This Row],[BullScore]]&gt;LogicEngineClean[[#This Row],[BearScore]],"Call",
   IF(LogicEngineClean[[#This Row],[BearScore]]&gt;LogicEngineClean[[#This Row],[BullScore]],"Put","Avoid")
)</f>
        <v>Avoid</v>
      </c>
      <c r="O36">
        <f>MAX(LogicEngineClean[[#This Row],[BullScore]],LogicEngineClean[[#This Row],[BearScore]])</f>
        <v>30</v>
      </c>
      <c r="P36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36">
        <f>IF(LogicEngineClean[[#This Row],[GammaRegime]]="Short Gamma",20,0)</f>
        <v>0</v>
      </c>
      <c r="R36">
        <f>IF(LogicEngineClean[[#This Row],[DeltaLean]]="Dealers Long",20,0)</f>
        <v>20</v>
      </c>
      <c r="S36">
        <f>IF(LogicEngineClean[[#This Row],[VannaBias]]="Upside Drift",20,
IF(LogicEngineClean[[#This Row],[VannaBias]]="Downside Drift",20,10))</f>
        <v>10</v>
      </c>
      <c r="T36">
        <f>IF(LogicEngineClean[[#This Row],[CharmBias]]="Sell Into Close",20,0)</f>
        <v>20</v>
      </c>
      <c r="U36">
        <f>IFERROR(IF(OR(LogicEngineClean[[#This Row],[CallWallFlag]]=TRUE,LogicEngineClean[[#This Row],[PutWallFlag]]=TRUE),10,0)
+
IF(LogicEngineClean[[#This Row],[FlipFlag]]="Below Flip",10,0),"")</f>
        <v>10</v>
      </c>
      <c r="V36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36" s="4" t="str" cm="1">
        <f t="array" ref="W36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Range Reversion</v>
      </c>
    </row>
    <row r="37" spans="1:23" x14ac:dyDescent="0.25">
      <c r="A37" t="str">
        <f>RawData_Query[[#This Row],[Ticker]]</f>
        <v>APLD</v>
      </c>
      <c r="B37">
        <f>RawData_Query[[#This Row],[Tier]]</f>
        <v>3</v>
      </c>
      <c r="C37">
        <v>0</v>
      </c>
      <c r="D37" t="str">
        <f>IF(RawData_Query[[#This Row],[NetGamma]]&gt;0,"Long Gamma","Short Gamma")</f>
        <v>Long Gamma</v>
      </c>
      <c r="E37" t="str">
        <f>IF(RawData_Query[[#This Row],[NetDelta]]&gt;0,"Dealers Long","Dealers Short")</f>
        <v>Dealers Long</v>
      </c>
      <c r="F37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37" t="str">
        <f>IF(RawData_Query[[#This Row],[NetCharm]]&lt;0,"Sell Into Close","Buy Into Close")</f>
        <v>Sell Into Close</v>
      </c>
      <c r="H37" t="str" cm="1">
        <f t="array" ref="H37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37" t="b">
        <f>IF(
    RawData_Query[[#This Row],[CallWallStrike]]="",
    FALSE,
    ABS(RawData_Query[[#This Row],[CallWallStrike]] - RawData_Query[[#This Row],[Price]]) / RawData_Query[[#This Row],[Price]] &lt; 0.02
)</f>
        <v>0</v>
      </c>
      <c r="J37" t="b">
        <f>IF(
    RawData_Query[[#This Row],[PutWallStrike]]="",
    FALSE,
    ABS(RawData_Query[[#This Row],[PutWallStrike]] - RawData_Query[[#This Row],[Price]]) / RawData_Query[[#This Row],[Price]] &lt; 0.02
)</f>
        <v>0</v>
      </c>
      <c r="K37" t="str">
        <f>IF(RawData_Query[[#This Row],[FlipStrike]]="","",
   IF(RawData_Query[[#This Row],[FlipStrike]] &gt; RawData_Query[[#This Row],[Price]],"Below Flip","Above Flip")
)</f>
        <v>Above Flip</v>
      </c>
      <c r="L37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37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25</v>
      </c>
      <c r="N37" t="str">
        <f>IF(LogicEngineClean[[#This Row],[BullScore]]&gt;LogicEngineClean[[#This Row],[BearScore]],"Call",
   IF(LogicEngineClean[[#This Row],[BearScore]]&gt;LogicEngineClean[[#This Row],[BullScore]],"Put","Avoid")
)</f>
        <v>Avoid</v>
      </c>
      <c r="O37">
        <f>MAX(LogicEngineClean[[#This Row],[BullScore]],LogicEngineClean[[#This Row],[BearScore]])</f>
        <v>25</v>
      </c>
      <c r="P37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37">
        <f>IF(LogicEngineClean[[#This Row],[GammaRegime]]="Short Gamma",20,0)</f>
        <v>0</v>
      </c>
      <c r="R37">
        <f>IF(LogicEngineClean[[#This Row],[DeltaLean]]="Dealers Long",20,0)</f>
        <v>20</v>
      </c>
      <c r="S37">
        <f>IF(LogicEngineClean[[#This Row],[VannaBias]]="Upside Drift",20,
IF(LogicEngineClean[[#This Row],[VannaBias]]="Downside Drift",20,10))</f>
        <v>20</v>
      </c>
      <c r="T37">
        <f>IF(LogicEngineClean[[#This Row],[CharmBias]]="Sell Into Close",20,0)</f>
        <v>20</v>
      </c>
      <c r="U37">
        <f>IFERROR(IF(OR(LogicEngineClean[[#This Row],[CallWallFlag]]=TRUE,LogicEngineClean[[#This Row],[PutWallFlag]]=TRUE),10,0)
+
IF(LogicEngineClean[[#This Row],[FlipFlag]]="Below Flip",10,0),"")</f>
        <v>0</v>
      </c>
      <c r="V37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37" s="4" t="str" cm="1">
        <f t="array" ref="W37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38" spans="1:23" x14ac:dyDescent="0.25">
      <c r="A38" t="str">
        <f>RawData_Query[[#This Row],[Ticker]]</f>
        <v>BE</v>
      </c>
      <c r="B38">
        <f>RawData_Query[[#This Row],[Tier]]</f>
        <v>3</v>
      </c>
      <c r="C38">
        <v>0</v>
      </c>
      <c r="D38" t="str">
        <f>IF(RawData_Query[[#This Row],[NetGamma]]&gt;0,"Long Gamma","Short Gamma")</f>
        <v>Short Gamma</v>
      </c>
      <c r="E38" t="str">
        <f>IF(RawData_Query[[#This Row],[NetDelta]]&gt;0,"Dealers Long","Dealers Short")</f>
        <v>Dealers Long</v>
      </c>
      <c r="F38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38" t="str">
        <f>IF(RawData_Query[[#This Row],[NetCharm]]&lt;0,"Sell Into Close","Buy Into Close")</f>
        <v>Sell Into Close</v>
      </c>
      <c r="H38" t="str" cm="1">
        <f t="array" ref="H38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38" t="b">
        <f>IF(
    RawData_Query[[#This Row],[CallWallStrike]]="",
    FALSE,
    ABS(RawData_Query[[#This Row],[CallWallStrike]] - RawData_Query[[#This Row],[Price]]) / RawData_Query[[#This Row],[Price]] &lt; 0.02
)</f>
        <v>0</v>
      </c>
      <c r="J38" t="b">
        <f>IF(
    RawData_Query[[#This Row],[PutWallStrike]]="",
    FALSE,
    ABS(RawData_Query[[#This Row],[PutWallStrike]] - RawData_Query[[#This Row],[Price]]) / RawData_Query[[#This Row],[Price]] &lt; 0.02
)</f>
        <v>0</v>
      </c>
      <c r="K38" t="str">
        <f>IF(RawData_Query[[#This Row],[FlipStrike]]="","",
   IF(RawData_Query[[#This Row],[FlipStrike]] &gt; RawData_Query[[#This Row],[Price]],"Below Flip","Above Flip")
)</f>
        <v>Above Flip</v>
      </c>
      <c r="L38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5</v>
      </c>
      <c r="M38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38" t="str">
        <f>IF(LogicEngineClean[[#This Row],[BullScore]]&gt;LogicEngineClean[[#This Row],[BearScore]],"Call",
   IF(LogicEngineClean[[#This Row],[BearScore]]&gt;LogicEngineClean[[#This Row],[BullScore]],"Put","Avoid")
)</f>
        <v>Put</v>
      </c>
      <c r="O38">
        <f>MAX(LogicEngineClean[[#This Row],[BullScore]],LogicEngineClean[[#This Row],[BearScore]])</f>
        <v>35</v>
      </c>
      <c r="P38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38">
        <f>IF(LogicEngineClean[[#This Row],[GammaRegime]]="Short Gamma",20,0)</f>
        <v>20</v>
      </c>
      <c r="R38">
        <f>IF(LogicEngineClean[[#This Row],[DeltaLean]]="Dealers Long",20,0)</f>
        <v>20</v>
      </c>
      <c r="S38">
        <f>IF(LogicEngineClean[[#This Row],[VannaBias]]="Upside Drift",20,
IF(LogicEngineClean[[#This Row],[VannaBias]]="Downside Drift",20,10))</f>
        <v>10</v>
      </c>
      <c r="T38">
        <f>IF(LogicEngineClean[[#This Row],[CharmBias]]="Sell Into Close",20,0)</f>
        <v>20</v>
      </c>
      <c r="U38">
        <f>IFERROR(IF(OR(LogicEngineClean[[#This Row],[CallWallFlag]]=TRUE,LogicEngineClean[[#This Row],[PutWallFlag]]=TRUE),10,0)
+
IF(LogicEngineClean[[#This Row],[FlipFlag]]="Below Flip",10,0),"")</f>
        <v>0</v>
      </c>
      <c r="V38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38" s="4" t="str" cm="1">
        <f t="array" ref="W38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39" spans="1:23" x14ac:dyDescent="0.25">
      <c r="A39" t="str">
        <f>RawData_Query[[#This Row],[Ticker]]</f>
        <v>XLE</v>
      </c>
      <c r="B39">
        <f>RawData_Query[[#This Row],[Tier]]</f>
        <v>1</v>
      </c>
      <c r="C39">
        <v>10</v>
      </c>
      <c r="D39" t="str">
        <f>IF(RawData_Query[[#This Row],[NetGamma]]&gt;0,"Long Gamma","Short Gamma")</f>
        <v>Short Gamma</v>
      </c>
      <c r="E39" t="str">
        <f>IF(RawData_Query[[#This Row],[NetDelta]]&gt;0,"Dealers Long","Dealers Short")</f>
        <v>Dealers Long</v>
      </c>
      <c r="F39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39" t="str">
        <f>IF(RawData_Query[[#This Row],[NetCharm]]&lt;0,"Sell Into Close","Buy Into Close")</f>
        <v>Sell Into Close</v>
      </c>
      <c r="H39" t="str" cm="1">
        <f t="array" ref="H39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39" t="b">
        <f>IF(
    RawData_Query[[#This Row],[CallWallStrike]]="",
    FALSE,
    ABS(RawData_Query[[#This Row],[CallWallStrike]] - RawData_Query[[#This Row],[Price]]) / RawData_Query[[#This Row],[Price]] &lt; 0.02
)</f>
        <v>0</v>
      </c>
      <c r="J39" t="b">
        <f>IF(
    RawData_Query[[#This Row],[PutWallStrike]]="",
    FALSE,
    ABS(RawData_Query[[#This Row],[PutWallStrike]] - RawData_Query[[#This Row],[Price]]) / RawData_Query[[#This Row],[Price]] &lt; 0.02
)</f>
        <v>0</v>
      </c>
      <c r="K39" t="str">
        <f>IF(RawData_Query[[#This Row],[FlipStrike]]="","",
   IF(RawData_Query[[#This Row],[FlipStrike]] &gt; RawData_Query[[#This Row],[Price]],"Below Flip","Above Flip")
)</f>
        <v>Above Flip</v>
      </c>
      <c r="L39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39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39" t="str">
        <f>IF(LogicEngineClean[[#This Row],[BullScore]]&gt;LogicEngineClean[[#This Row],[BearScore]],"Call",
   IF(LogicEngineClean[[#This Row],[BearScore]]&gt;LogicEngineClean[[#This Row],[BullScore]],"Put","Avoid")
)</f>
        <v>Put</v>
      </c>
      <c r="O39">
        <f>MAX(LogicEngineClean[[#This Row],[BullScore]],LogicEngineClean[[#This Row],[BearScore]])</f>
        <v>45</v>
      </c>
      <c r="P39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39">
        <f>IF(LogicEngineClean[[#This Row],[GammaRegime]]="Short Gamma",20,0)</f>
        <v>20</v>
      </c>
      <c r="R39">
        <f>IF(LogicEngineClean[[#This Row],[DeltaLean]]="Dealers Long",20,0)</f>
        <v>20</v>
      </c>
      <c r="S39">
        <f>IF(LogicEngineClean[[#This Row],[VannaBias]]="Upside Drift",20,
IF(LogicEngineClean[[#This Row],[VannaBias]]="Downside Drift",20,10))</f>
        <v>10</v>
      </c>
      <c r="T39">
        <f>IF(LogicEngineClean[[#This Row],[CharmBias]]="Sell Into Close",20,0)</f>
        <v>20</v>
      </c>
      <c r="U39">
        <f>IFERROR(IF(OR(LogicEngineClean[[#This Row],[CallWallFlag]]=TRUE,LogicEngineClean[[#This Row],[PutWallFlag]]=TRUE),10,0)
+
IF(LogicEngineClean[[#This Row],[FlipFlag]]="Below Flip",10,0),"")</f>
        <v>0</v>
      </c>
      <c r="V39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39" s="4" t="str" cm="1">
        <f t="array" ref="W39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40" spans="1:23" x14ac:dyDescent="0.25">
      <c r="A40" t="str">
        <f>RawData_Query[[#This Row],[Ticker]]</f>
        <v>RKLB</v>
      </c>
      <c r="B40">
        <f>RawData_Query[[#This Row],[Tier]]</f>
        <v>2</v>
      </c>
      <c r="C40">
        <v>5</v>
      </c>
      <c r="D40" t="str">
        <f>IF(RawData_Query[[#This Row],[NetGamma]]&gt;0,"Long Gamma","Short Gamma")</f>
        <v>Long Gamma</v>
      </c>
      <c r="E40" t="str">
        <f>IF(RawData_Query[[#This Row],[NetDelta]]&gt;0,"Dealers Long","Dealers Short")</f>
        <v>Dealers Long</v>
      </c>
      <c r="F40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40" t="str">
        <f>IF(RawData_Query[[#This Row],[NetCharm]]&lt;0,"Sell Into Close","Buy Into Close")</f>
        <v>Sell Into Close</v>
      </c>
      <c r="H40" t="str" cm="1">
        <f t="array" ref="H40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40" t="b">
        <f>IF(
    RawData_Query[[#This Row],[CallWallStrike]]="",
    FALSE,
    ABS(RawData_Query[[#This Row],[CallWallStrike]] - RawData_Query[[#This Row],[Price]]) / RawData_Query[[#This Row],[Price]] &lt; 0.02
)</f>
        <v>0</v>
      </c>
      <c r="J40" t="b">
        <f>IF(
    RawData_Query[[#This Row],[PutWallStrike]]="",
    FALSE,
    ABS(RawData_Query[[#This Row],[PutWallStrike]] - RawData_Query[[#This Row],[Price]]) / RawData_Query[[#This Row],[Price]] &lt; 0.02
)</f>
        <v>0</v>
      </c>
      <c r="K40" t="str">
        <f>IF(RawData_Query[[#This Row],[FlipStrike]]="","",
   IF(RawData_Query[[#This Row],[FlipStrike]] &gt; RawData_Query[[#This Row],[Price]],"Below Flip","Above Flip")
)</f>
        <v>Above Flip</v>
      </c>
      <c r="L40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40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40" t="str">
        <f>IF(LogicEngineClean[[#This Row],[BullScore]]&gt;LogicEngineClean[[#This Row],[BearScore]],"Call",
   IF(LogicEngineClean[[#This Row],[BearScore]]&gt;LogicEngineClean[[#This Row],[BullScore]],"Put","Avoid")
)</f>
        <v>Put</v>
      </c>
      <c r="O40">
        <f>MAX(LogicEngineClean[[#This Row],[BullScore]],LogicEngineClean[[#This Row],[BearScore]])</f>
        <v>30</v>
      </c>
      <c r="P40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40">
        <f>IF(LogicEngineClean[[#This Row],[GammaRegime]]="Short Gamma",20,0)</f>
        <v>0</v>
      </c>
      <c r="R40">
        <f>IF(LogicEngineClean[[#This Row],[DeltaLean]]="Dealers Long",20,0)</f>
        <v>20</v>
      </c>
      <c r="S40">
        <f>IF(LogicEngineClean[[#This Row],[VannaBias]]="Upside Drift",20,
IF(LogicEngineClean[[#This Row],[VannaBias]]="Downside Drift",20,10))</f>
        <v>10</v>
      </c>
      <c r="T40">
        <f>IF(LogicEngineClean[[#This Row],[CharmBias]]="Sell Into Close",20,0)</f>
        <v>20</v>
      </c>
      <c r="U40">
        <f>IFERROR(IF(OR(LogicEngineClean[[#This Row],[CallWallFlag]]=TRUE,LogicEngineClean[[#This Row],[PutWallFlag]]=TRUE),10,0)
+
IF(LogicEngineClean[[#This Row],[FlipFlag]]="Below Flip",10,0),"")</f>
        <v>0</v>
      </c>
      <c r="V40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40" s="4" t="str" cm="1">
        <f t="array" ref="W40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41" spans="1:23" x14ac:dyDescent="0.25">
      <c r="A41" t="str">
        <f>RawData_Query[[#This Row],[Ticker]]</f>
        <v>RIOT</v>
      </c>
      <c r="B41">
        <f>RawData_Query[[#This Row],[Tier]]</f>
        <v>2</v>
      </c>
      <c r="C41">
        <v>5</v>
      </c>
      <c r="D41" t="str">
        <f>IF(RawData_Query[[#This Row],[NetGamma]]&gt;0,"Long Gamma","Short Gamma")</f>
        <v>Long Gamma</v>
      </c>
      <c r="E41" t="str">
        <f>IF(RawData_Query[[#This Row],[NetDelta]]&gt;0,"Dealers Long","Dealers Short")</f>
        <v>Dealers Long</v>
      </c>
      <c r="F41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41" t="str">
        <f>IF(RawData_Query[[#This Row],[NetCharm]]&lt;0,"Sell Into Close","Buy Into Close")</f>
        <v>Sell Into Close</v>
      </c>
      <c r="H41" t="str" cm="1">
        <f t="array" ref="H41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41" t="b">
        <f>IF(
    RawData_Query[[#This Row],[CallWallStrike]]="",
    FALSE,
    ABS(RawData_Query[[#This Row],[CallWallStrike]] - RawData_Query[[#This Row],[Price]]) / RawData_Query[[#This Row],[Price]] &lt; 0.02
)</f>
        <v>0</v>
      </c>
      <c r="J41" t="b">
        <f>IF(
    RawData_Query[[#This Row],[PutWallStrike]]="",
    FALSE,
    ABS(RawData_Query[[#This Row],[PutWallStrike]] - RawData_Query[[#This Row],[Price]]) / RawData_Query[[#This Row],[Price]] &lt; 0.02
)</f>
        <v>0</v>
      </c>
      <c r="K41" t="str">
        <f>IF(RawData_Query[[#This Row],[FlipStrike]]="","",
   IF(RawData_Query[[#This Row],[FlipStrike]] &gt; RawData_Query[[#This Row],[Price]],"Below Flip","Above Flip")
)</f>
        <v>Above Flip</v>
      </c>
      <c r="L41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30</v>
      </c>
      <c r="M41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41" t="str">
        <f>IF(LogicEngineClean[[#This Row],[BullScore]]&gt;LogicEngineClean[[#This Row],[BearScore]],"Call",
   IF(LogicEngineClean[[#This Row],[BearScore]]&gt;LogicEngineClean[[#This Row],[BullScore]],"Put","Avoid")
)</f>
        <v>Avoid</v>
      </c>
      <c r="O41">
        <f>MAX(LogicEngineClean[[#This Row],[BullScore]],LogicEngineClean[[#This Row],[BearScore]])</f>
        <v>30</v>
      </c>
      <c r="P41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41">
        <f>IF(LogicEngineClean[[#This Row],[GammaRegime]]="Short Gamma",20,0)</f>
        <v>0</v>
      </c>
      <c r="R41">
        <f>IF(LogicEngineClean[[#This Row],[DeltaLean]]="Dealers Long",20,0)</f>
        <v>20</v>
      </c>
      <c r="S41">
        <f>IF(LogicEngineClean[[#This Row],[VannaBias]]="Upside Drift",20,
IF(LogicEngineClean[[#This Row],[VannaBias]]="Downside Drift",20,10))</f>
        <v>20</v>
      </c>
      <c r="T41">
        <f>IF(LogicEngineClean[[#This Row],[CharmBias]]="Sell Into Close",20,0)</f>
        <v>20</v>
      </c>
      <c r="U41">
        <f>IFERROR(IF(OR(LogicEngineClean[[#This Row],[CallWallFlag]]=TRUE,LogicEngineClean[[#This Row],[PutWallFlag]]=TRUE),10,0)
+
IF(LogicEngineClean[[#This Row],[FlipFlag]]="Below Flip",10,0),"")</f>
        <v>0</v>
      </c>
      <c r="V41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41" s="4" t="str" cm="1">
        <f t="array" ref="W41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42" spans="1:23" x14ac:dyDescent="0.25">
      <c r="A42" t="str">
        <f>RawData_Query[[#This Row],[Ticker]]</f>
        <v>COIN</v>
      </c>
      <c r="B42">
        <f>RawData_Query[[#This Row],[Tier]]</f>
        <v>2</v>
      </c>
      <c r="C42">
        <v>5</v>
      </c>
      <c r="D42" t="str">
        <f>IF(RawData_Query[[#This Row],[NetGamma]]&gt;0,"Long Gamma","Short Gamma")</f>
        <v>Short Gamma</v>
      </c>
      <c r="E42" t="str">
        <f>IF(RawData_Query[[#This Row],[NetDelta]]&gt;0,"Dealers Long","Dealers Short")</f>
        <v>Dealers Short</v>
      </c>
      <c r="F42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42" t="str">
        <f>IF(RawData_Query[[#This Row],[NetCharm]]&lt;0,"Sell Into Close","Buy Into Close")</f>
        <v>Sell Into Close</v>
      </c>
      <c r="H42" t="str" cm="1">
        <f t="array" ref="H42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42" t="e">
        <f>IF(
    RawData_Query[[#This Row],[CallWallStrike]]="",
    FALSE,
    ABS(RawData_Query[[#This Row],[CallWallStrike]] - RawData_Query[[#This Row],[Price]]) / RawData_Query[[#This Row],[Price]] &lt; 0.02
)</f>
        <v>#DIV/0!</v>
      </c>
      <c r="J42" t="e">
        <f>IF(
    RawData_Query[[#This Row],[PutWallStrike]]="",
    FALSE,
    ABS(RawData_Query[[#This Row],[PutWallStrike]] - RawData_Query[[#This Row],[Price]]) / RawData_Query[[#This Row],[Price]] &lt; 0.02
)</f>
        <v>#DIV/0!</v>
      </c>
      <c r="K42" t="str">
        <f>IF(RawData_Query[[#This Row],[FlipStrike]]="","",
   IF(RawData_Query[[#This Row],[FlipStrike]] &gt; RawData_Query[[#This Row],[Price]],"Below Flip","Above Flip")
)</f>
        <v>Below Flip</v>
      </c>
      <c r="L42" t="str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/>
      </c>
      <c r="M42" t="str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/>
      </c>
      <c r="N42" t="str">
        <f>IF(LogicEngineClean[[#This Row],[BullScore]]&gt;LogicEngineClean[[#This Row],[BearScore]],"Call",
   IF(LogicEngineClean[[#This Row],[BearScore]]&gt;LogicEngineClean[[#This Row],[BullScore]],"Put","Avoid")
)</f>
        <v>Avoid</v>
      </c>
      <c r="O42">
        <f>MAX(LogicEngineClean[[#This Row],[BullScore]],LogicEngineClean[[#This Row],[BearScore]])</f>
        <v>0</v>
      </c>
      <c r="P42" t="str">
        <f>"Bias: " &amp; LogicEngineClean[[#This Row],[TradeBias]] &amp;
" | Regime: " &amp; LogicEngineClean[[#This Row],[GammaRegime]] &amp;
" | Delta: " &amp; LogicEngineClean[[#This Row],[DeltaLean]]</f>
        <v>Bias: Avoid | Regime: Short Gamma | Delta: Dealers Short</v>
      </c>
      <c r="Q42">
        <f>IF(LogicEngineClean[[#This Row],[GammaRegime]]="Short Gamma",20,0)</f>
        <v>20</v>
      </c>
      <c r="R42">
        <f>IF(LogicEngineClean[[#This Row],[DeltaLean]]="Dealers Long",20,0)</f>
        <v>0</v>
      </c>
      <c r="S42">
        <f>IF(LogicEngineClean[[#This Row],[VannaBias]]="Upside Drift",20,
IF(LogicEngineClean[[#This Row],[VannaBias]]="Downside Drift",20,10))</f>
        <v>20</v>
      </c>
      <c r="T42">
        <f>IF(LogicEngineClean[[#This Row],[CharmBias]]="Sell Into Close",20,0)</f>
        <v>20</v>
      </c>
      <c r="U42" t="str">
        <f>IFERROR(IF(OR(LogicEngineClean[[#This Row],[CallWallFlag]]=TRUE,LogicEngineClean[[#This Row],[PutWallFlag]]=TRUE),10,0)
+
IF(LogicEngineClean[[#This Row],[FlipFlag]]="Below Flip",10,0),"")</f>
        <v/>
      </c>
      <c r="V42" t="str">
        <f>IFERROR(LogicEngineClean[[#This Row],[GammaScore]] + LogicEngineClean[[#This Row],[DeltaScore]] + LogicEngineClean[[#This Row],[VannaScore]] + LogicEngineClean[[#This Row],[CharmScore]] + LogicEngineClean[[#This Row],[WallFlipScore]],"")</f>
        <v/>
      </c>
      <c r="W42" s="4" t="str" cm="1">
        <f t="array" ref="W42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43" spans="1:23" x14ac:dyDescent="0.25">
      <c r="A43" t="str">
        <f>RawData_Query[[#This Row],[Ticker]]</f>
        <v>MSTR</v>
      </c>
      <c r="B43">
        <f>RawData_Query[[#This Row],[Tier]]</f>
        <v>2</v>
      </c>
      <c r="C43">
        <v>5</v>
      </c>
      <c r="D43" t="str">
        <f>IF(RawData_Query[[#This Row],[NetGamma]]&gt;0,"Long Gamma","Short Gamma")</f>
        <v>Short Gamma</v>
      </c>
      <c r="E43" t="str">
        <f>IF(RawData_Query[[#This Row],[NetDelta]]&gt;0,"Dealers Long","Dealers Short")</f>
        <v>Dealers Long</v>
      </c>
      <c r="F43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Drift</v>
      </c>
      <c r="G43" t="str">
        <f>IF(RawData_Query[[#This Row],[NetCharm]]&lt;0,"Sell Into Close","Buy Into Close")</f>
        <v>Buy Into Close</v>
      </c>
      <c r="H43" t="str" cm="1">
        <f t="array" ref="H43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Downside</v>
      </c>
      <c r="I43" t="b">
        <f>IF(
    RawData_Query[[#This Row],[CallWallStrike]]="",
    FALSE,
    ABS(RawData_Query[[#This Row],[CallWallStrike]] - RawData_Query[[#This Row],[Price]]) / RawData_Query[[#This Row],[Price]] &lt; 0.02
)</f>
        <v>0</v>
      </c>
      <c r="J43" t="b">
        <f>IF(
    RawData_Query[[#This Row],[PutWallStrike]]="",
    FALSE,
    ABS(RawData_Query[[#This Row],[PutWallStrike]] - RawData_Query[[#This Row],[Price]]) / RawData_Query[[#This Row],[Price]] &lt; 0.02
)</f>
        <v>0</v>
      </c>
      <c r="K43" t="str">
        <f>IF(RawData_Query[[#This Row],[FlipStrike]]="","",
   IF(RawData_Query[[#This Row],[FlipStrike]] &gt; RawData_Query[[#This Row],[Price]],"Below Flip","Above Flip")
)</f>
        <v>Above Flip</v>
      </c>
      <c r="L43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43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40</v>
      </c>
      <c r="N43" t="str">
        <f>IF(LogicEngineClean[[#This Row],[BullScore]]&gt;LogicEngineClean[[#This Row],[BearScore]],"Call",
   IF(LogicEngineClean[[#This Row],[BearScore]]&gt;LogicEngineClean[[#This Row],[BullScore]],"Put","Avoid")
)</f>
        <v>Put</v>
      </c>
      <c r="O43">
        <f>MAX(LogicEngineClean[[#This Row],[BullScore]],LogicEngineClean[[#This Row],[BearScore]])</f>
        <v>40</v>
      </c>
      <c r="P43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43">
        <f>IF(LogicEngineClean[[#This Row],[GammaRegime]]="Short Gamma",20,0)</f>
        <v>20</v>
      </c>
      <c r="R43">
        <f>IF(LogicEngineClean[[#This Row],[DeltaLean]]="Dealers Long",20,0)</f>
        <v>20</v>
      </c>
      <c r="S43">
        <f>IF(LogicEngineClean[[#This Row],[VannaBias]]="Upside Drift",20,
IF(LogicEngineClean[[#This Row],[VannaBias]]="Downside Drift",20,10))</f>
        <v>20</v>
      </c>
      <c r="T43">
        <f>IF(LogicEngineClean[[#This Row],[CharmBias]]="Sell Into Close",20,0)</f>
        <v>0</v>
      </c>
      <c r="U43">
        <f>IFERROR(IF(OR(LogicEngineClean[[#This Row],[CallWallFlag]]=TRUE,LogicEngineClean[[#This Row],[PutWallFlag]]=TRUE),10,0)
+
IF(LogicEngineClean[[#This Row],[FlipFlag]]="Below Flip",10,0),"")</f>
        <v>0</v>
      </c>
      <c r="V43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43" s="4" t="str" cm="1">
        <f t="array" ref="W43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44" spans="1:23" x14ac:dyDescent="0.25">
      <c r="A44" t="str">
        <f>RawData_Query[[#This Row],[Ticker]]</f>
        <v>SNOW</v>
      </c>
      <c r="B44">
        <f>RawData_Query[[#This Row],[Tier]]</f>
        <v>2</v>
      </c>
      <c r="C44">
        <v>5</v>
      </c>
      <c r="D44" t="str">
        <f>IF(RawData_Query[[#This Row],[NetGamma]]&gt;0,"Long Gamma","Short Gamma")</f>
        <v>Short Gamma</v>
      </c>
      <c r="E44" t="str">
        <f>IF(RawData_Query[[#This Row],[NetDelta]]&gt;0,"Dealers Long","Dealers Short")</f>
        <v>Dealers Long</v>
      </c>
      <c r="F44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Pressure</v>
      </c>
      <c r="G44" t="str">
        <f>IF(RawData_Query[[#This Row],[NetCharm]]&lt;0,"Sell Into Close","Buy Into Close")</f>
        <v>Sell Into Close</v>
      </c>
      <c r="H44" t="str" cm="1">
        <f t="array" ref="H44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Mixed Downside</v>
      </c>
      <c r="I44" t="b">
        <f>IF(
    RawData_Query[[#This Row],[CallWallStrike]]="",
    FALSE,
    ABS(RawData_Query[[#This Row],[CallWallStrike]] - RawData_Query[[#This Row],[Price]]) / RawData_Query[[#This Row],[Price]] &lt; 0.02
)</f>
        <v>0</v>
      </c>
      <c r="J44" t="b">
        <f>IF(
    RawData_Query[[#This Row],[PutWallStrike]]="",
    FALSE,
    ABS(RawData_Query[[#This Row],[PutWallStrike]] - RawData_Query[[#This Row],[Price]]) / RawData_Query[[#This Row],[Price]] &lt; 0.02
)</f>
        <v>0</v>
      </c>
      <c r="K44" t="str">
        <f>IF(RawData_Query[[#This Row],[FlipStrike]]="","",
   IF(RawData_Query[[#This Row],[FlipStrike]] &gt; RawData_Query[[#This Row],[Price]],"Below Flip","Above Flip")
)</f>
        <v>Above Flip</v>
      </c>
      <c r="L44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10</v>
      </c>
      <c r="M44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40</v>
      </c>
      <c r="N44" t="str">
        <f>IF(LogicEngineClean[[#This Row],[BullScore]]&gt;LogicEngineClean[[#This Row],[BearScore]],"Call",
   IF(LogicEngineClean[[#This Row],[BearScore]]&gt;LogicEngineClean[[#This Row],[BullScore]],"Put","Avoid")
)</f>
        <v>Put</v>
      </c>
      <c r="O44">
        <f>MAX(LogicEngineClean[[#This Row],[BullScore]],LogicEngineClean[[#This Row],[BearScore]])</f>
        <v>40</v>
      </c>
      <c r="P44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44">
        <f>IF(LogicEngineClean[[#This Row],[GammaRegime]]="Short Gamma",20,0)</f>
        <v>20</v>
      </c>
      <c r="R44">
        <f>IF(LogicEngineClean[[#This Row],[DeltaLean]]="Dealers Long",20,0)</f>
        <v>20</v>
      </c>
      <c r="S44">
        <f>IF(LogicEngineClean[[#This Row],[VannaBias]]="Upside Drift",20,
IF(LogicEngineClean[[#This Row],[VannaBias]]="Downside Drift",20,10))</f>
        <v>10</v>
      </c>
      <c r="T44">
        <f>IF(LogicEngineClean[[#This Row],[CharmBias]]="Sell Into Close",20,0)</f>
        <v>20</v>
      </c>
      <c r="U44">
        <f>IFERROR(IF(OR(LogicEngineClean[[#This Row],[CallWallFlag]]=TRUE,LogicEngineClean[[#This Row],[PutWallFlag]]=TRUE),10,0)
+
IF(LogicEngineClean[[#This Row],[FlipFlag]]="Below Flip",10,0),"")</f>
        <v>0</v>
      </c>
      <c r="V44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44" s="4" t="str" cm="1">
        <f t="array" ref="W44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45" spans="1:23" x14ac:dyDescent="0.25">
      <c r="A45" t="str">
        <f>RawData_Query[[#This Row],[Ticker]]</f>
        <v>LLY</v>
      </c>
      <c r="B45">
        <f>RawData_Query[[#This Row],[Tier]]</f>
        <v>2</v>
      </c>
      <c r="C45">
        <v>5</v>
      </c>
      <c r="D45" t="str">
        <f>IF(RawData_Query[[#This Row],[NetGamma]]&gt;0,"Long Gamma","Short Gamma")</f>
        <v>Short Gamma</v>
      </c>
      <c r="E45" t="str">
        <f>IF(RawData_Query[[#This Row],[NetDelta]]&gt;0,"Dealers Long","Dealers Short")</f>
        <v>Dealers Long</v>
      </c>
      <c r="F45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45" t="str">
        <f>IF(RawData_Query[[#This Row],[NetCharm]]&lt;0,"Sell Into Close","Buy Into Close")</f>
        <v>Sell Into Close</v>
      </c>
      <c r="H45" t="str" cm="1">
        <f t="array" ref="H45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45" t="b">
        <f>IF(
    RawData_Query[[#This Row],[CallWallStrike]]="",
    FALSE,
    ABS(RawData_Query[[#This Row],[CallWallStrike]] - RawData_Query[[#This Row],[Price]]) / RawData_Query[[#This Row],[Price]] &lt; 0.02
)</f>
        <v>1</v>
      </c>
      <c r="J45" t="b">
        <f>IF(
    RawData_Query[[#This Row],[PutWallStrike]]="",
    FALSE,
    ABS(RawData_Query[[#This Row],[PutWallStrike]] - RawData_Query[[#This Row],[Price]]) / RawData_Query[[#This Row],[Price]] &lt; 0.02
)</f>
        <v>0</v>
      </c>
      <c r="K45" t="str">
        <f>IF(RawData_Query[[#This Row],[FlipStrike]]="","",
   IF(RawData_Query[[#This Row],[FlipStrike]] &gt; RawData_Query[[#This Row],[Price]],"Below Flip","Above Flip")
)</f>
        <v>Above Flip</v>
      </c>
      <c r="L45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45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45" t="str">
        <f>IF(LogicEngineClean[[#This Row],[BullScore]]&gt;LogicEngineClean[[#This Row],[BearScore]],"Call",
   IF(LogicEngineClean[[#This Row],[BearScore]]&gt;LogicEngineClean[[#This Row],[BullScore]],"Put","Avoid")
)</f>
        <v>Put</v>
      </c>
      <c r="O45">
        <f>MAX(LogicEngineClean[[#This Row],[BullScore]],LogicEngineClean[[#This Row],[BearScore]])</f>
        <v>35</v>
      </c>
      <c r="P45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45">
        <f>IF(LogicEngineClean[[#This Row],[GammaRegime]]="Short Gamma",20,0)</f>
        <v>20</v>
      </c>
      <c r="R45">
        <f>IF(LogicEngineClean[[#This Row],[DeltaLean]]="Dealers Long",20,0)</f>
        <v>20</v>
      </c>
      <c r="S45">
        <f>IF(LogicEngineClean[[#This Row],[VannaBias]]="Upside Drift",20,
IF(LogicEngineClean[[#This Row],[VannaBias]]="Downside Drift",20,10))</f>
        <v>20</v>
      </c>
      <c r="T45">
        <f>IF(LogicEngineClean[[#This Row],[CharmBias]]="Sell Into Close",20,0)</f>
        <v>20</v>
      </c>
      <c r="U45">
        <f>IFERROR(IF(OR(LogicEngineClean[[#This Row],[CallWallFlag]]=TRUE,LogicEngineClean[[#This Row],[PutWallFlag]]=TRUE),10,0)
+
IF(LogicEngineClean[[#This Row],[FlipFlag]]="Below Flip",10,0),"")</f>
        <v>10</v>
      </c>
      <c r="V45">
        <f>IFERROR(LogicEngineClean[[#This Row],[GammaScore]] + LogicEngineClean[[#This Row],[DeltaScore]] + LogicEngineClean[[#This Row],[VannaScore]] + LogicEngineClean[[#This Row],[CharmScore]] + LogicEngineClean[[#This Row],[WallFlipScore]],"")</f>
        <v>90</v>
      </c>
      <c r="W45" s="4" t="str" cm="1">
        <f t="array" ref="W45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Squeeze Up</v>
      </c>
    </row>
    <row r="46" spans="1:23" x14ac:dyDescent="0.25">
      <c r="A46" t="str">
        <f>RawData_Query[[#This Row],[Ticker]]</f>
        <v>JNJ</v>
      </c>
      <c r="B46">
        <f>RawData_Query[[#This Row],[Tier]]</f>
        <v>2</v>
      </c>
      <c r="C46">
        <v>5</v>
      </c>
      <c r="D46" t="str">
        <f>IF(RawData_Query[[#This Row],[NetGamma]]&gt;0,"Long Gamma","Short Gamma")</f>
        <v>Long Gamma</v>
      </c>
      <c r="E46" t="str">
        <f>IF(RawData_Query[[#This Row],[NetDelta]]&gt;0,"Dealers Long","Dealers Short")</f>
        <v>Dealers Long</v>
      </c>
      <c r="F46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46" t="str">
        <f>IF(RawData_Query[[#This Row],[NetCharm]]&lt;0,"Sell Into Close","Buy Into Close")</f>
        <v>Sell Into Close</v>
      </c>
      <c r="H46" t="str" cm="1">
        <f t="array" ref="H46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46" t="b">
        <f>IF(
    RawData_Query[[#This Row],[CallWallStrike]]="",
    FALSE,
    ABS(RawData_Query[[#This Row],[CallWallStrike]] - RawData_Query[[#This Row],[Price]]) / RawData_Query[[#This Row],[Price]] &lt; 0.02
)</f>
        <v>1</v>
      </c>
      <c r="J46" t="b">
        <f>IF(
    RawData_Query[[#This Row],[PutWallStrike]]="",
    FALSE,
    ABS(RawData_Query[[#This Row],[PutWallStrike]] - RawData_Query[[#This Row],[Price]]) / RawData_Query[[#This Row],[Price]] &lt; 0.02
)</f>
        <v>0</v>
      </c>
      <c r="K46" t="str">
        <f>IF(RawData_Query[[#This Row],[FlipStrike]]="","",
   IF(RawData_Query[[#This Row],[FlipStrike]] &gt; RawData_Query[[#This Row],[Price]],"Below Flip","Above Flip")
)</f>
        <v>Below Flip</v>
      </c>
      <c r="L46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25</v>
      </c>
      <c r="M46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25</v>
      </c>
      <c r="N46" t="str">
        <f>IF(LogicEngineClean[[#This Row],[BullScore]]&gt;LogicEngineClean[[#This Row],[BearScore]],"Call",
   IF(LogicEngineClean[[#This Row],[BearScore]]&gt;LogicEngineClean[[#This Row],[BullScore]],"Put","Avoid")
)</f>
        <v>Avoid</v>
      </c>
      <c r="O46">
        <f>MAX(LogicEngineClean[[#This Row],[BullScore]],LogicEngineClean[[#This Row],[BearScore]])</f>
        <v>25</v>
      </c>
      <c r="P46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46">
        <f>IF(LogicEngineClean[[#This Row],[GammaRegime]]="Short Gamma",20,0)</f>
        <v>0</v>
      </c>
      <c r="R46">
        <f>IF(LogicEngineClean[[#This Row],[DeltaLean]]="Dealers Long",20,0)</f>
        <v>20</v>
      </c>
      <c r="S46">
        <f>IF(LogicEngineClean[[#This Row],[VannaBias]]="Upside Drift",20,
IF(LogicEngineClean[[#This Row],[VannaBias]]="Downside Drift",20,10))</f>
        <v>10</v>
      </c>
      <c r="T46">
        <f>IF(LogicEngineClean[[#This Row],[CharmBias]]="Sell Into Close",20,0)</f>
        <v>20</v>
      </c>
      <c r="U46">
        <f>IFERROR(IF(OR(LogicEngineClean[[#This Row],[CallWallFlag]]=TRUE,LogicEngineClean[[#This Row],[PutWallFlag]]=TRUE),10,0)
+
IF(LogicEngineClean[[#This Row],[FlipFlag]]="Below Flip",10,0),"")</f>
        <v>20</v>
      </c>
      <c r="V46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46" s="4" t="str" cm="1">
        <f t="array" ref="W46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Range Reversion</v>
      </c>
    </row>
    <row r="47" spans="1:23" x14ac:dyDescent="0.25">
      <c r="A47" t="str">
        <f>RawData_Query[[#This Row],[Ticker]]</f>
        <v>UNH</v>
      </c>
      <c r="B47">
        <f>RawData_Query[[#This Row],[Tier]]</f>
        <v>2</v>
      </c>
      <c r="C47">
        <v>5</v>
      </c>
      <c r="D47" t="str">
        <f>IF(RawData_Query[[#This Row],[NetGamma]]&gt;0,"Long Gamma","Short Gamma")</f>
        <v>Short Gamma</v>
      </c>
      <c r="E47" t="str">
        <f>IF(RawData_Query[[#This Row],[NetDelta]]&gt;0,"Dealers Long","Dealers Short")</f>
        <v>Dealers Long</v>
      </c>
      <c r="F47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47" t="str">
        <f>IF(RawData_Query[[#This Row],[NetCharm]]&lt;0,"Sell Into Close","Buy Into Close")</f>
        <v>Sell Into Close</v>
      </c>
      <c r="H47" t="str" cm="1">
        <f t="array" ref="H47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47" t="b">
        <f>IF(
    RawData_Query[[#This Row],[CallWallStrike]]="",
    FALSE,
    ABS(RawData_Query[[#This Row],[CallWallStrike]] - RawData_Query[[#This Row],[Price]]) / RawData_Query[[#This Row],[Price]] &lt; 0.02
)</f>
        <v>0</v>
      </c>
      <c r="J47" t="b">
        <f>IF(
    RawData_Query[[#This Row],[PutWallStrike]]="",
    FALSE,
    ABS(RawData_Query[[#This Row],[PutWallStrike]] - RawData_Query[[#This Row],[Price]]) / RawData_Query[[#This Row],[Price]] &lt; 0.02
)</f>
        <v>0</v>
      </c>
      <c r="K47" t="str">
        <f>IF(RawData_Query[[#This Row],[FlipStrike]]="","",
   IF(RawData_Query[[#This Row],[FlipStrike]] &gt; RawData_Query[[#This Row],[Price]],"Below Flip","Above Flip")
)</f>
        <v>Above Flip</v>
      </c>
      <c r="L47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47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40</v>
      </c>
      <c r="N47" t="str">
        <f>IF(LogicEngineClean[[#This Row],[BullScore]]&gt;LogicEngineClean[[#This Row],[BearScore]],"Call",
   IF(LogicEngineClean[[#This Row],[BearScore]]&gt;LogicEngineClean[[#This Row],[BullScore]],"Put","Avoid")
)</f>
        <v>Put</v>
      </c>
      <c r="O47">
        <f>MAX(LogicEngineClean[[#This Row],[BullScore]],LogicEngineClean[[#This Row],[BearScore]])</f>
        <v>40</v>
      </c>
      <c r="P47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47">
        <f>IF(LogicEngineClean[[#This Row],[GammaRegime]]="Short Gamma",20,0)</f>
        <v>20</v>
      </c>
      <c r="R47">
        <f>IF(LogicEngineClean[[#This Row],[DeltaLean]]="Dealers Long",20,0)</f>
        <v>20</v>
      </c>
      <c r="S47">
        <f>IF(LogicEngineClean[[#This Row],[VannaBias]]="Upside Drift",20,
IF(LogicEngineClean[[#This Row],[VannaBias]]="Downside Drift",20,10))</f>
        <v>20</v>
      </c>
      <c r="T47">
        <f>IF(LogicEngineClean[[#This Row],[CharmBias]]="Sell Into Close",20,0)</f>
        <v>20</v>
      </c>
      <c r="U47">
        <f>IFERROR(IF(OR(LogicEngineClean[[#This Row],[CallWallFlag]]=TRUE,LogicEngineClean[[#This Row],[PutWallFlag]]=TRUE),10,0)
+
IF(LogicEngineClean[[#This Row],[FlipFlag]]="Below Flip",10,0),"")</f>
        <v>0</v>
      </c>
      <c r="V47">
        <f>IFERROR(LogicEngineClean[[#This Row],[GammaScore]] + LogicEngineClean[[#This Row],[DeltaScore]] + LogicEngineClean[[#This Row],[VannaScore]] + LogicEngineClean[[#This Row],[CharmScore]] + LogicEngineClean[[#This Row],[WallFlipScore]],"")</f>
        <v>80</v>
      </c>
      <c r="W47" s="4" t="str" cm="1">
        <f t="array" ref="W47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Squeeze Up</v>
      </c>
    </row>
    <row r="48" spans="1:23" x14ac:dyDescent="0.25">
      <c r="A48" t="str">
        <f>RawData_Query[[#This Row],[Ticker]]</f>
        <v>TGT</v>
      </c>
      <c r="B48">
        <f>RawData_Query[[#This Row],[Tier]]</f>
        <v>2</v>
      </c>
      <c r="C48">
        <v>5</v>
      </c>
      <c r="D48" t="str">
        <f>IF(RawData_Query[[#This Row],[NetGamma]]&gt;0,"Long Gamma","Short Gamma")</f>
        <v>Long Gamma</v>
      </c>
      <c r="E48" t="str">
        <f>IF(RawData_Query[[#This Row],[NetDelta]]&gt;0,"Dealers Long","Dealers Short")</f>
        <v>Dealers Long</v>
      </c>
      <c r="F48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48" t="str">
        <f>IF(RawData_Query[[#This Row],[NetCharm]]&lt;0,"Sell Into Close","Buy Into Close")</f>
        <v>Sell Into Close</v>
      </c>
      <c r="H48" t="str" cm="1">
        <f t="array" ref="H48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48" t="b">
        <f>IF(
    RawData_Query[[#This Row],[CallWallStrike]]="",
    FALSE,
    ABS(RawData_Query[[#This Row],[CallWallStrike]] - RawData_Query[[#This Row],[Price]]) / RawData_Query[[#This Row],[Price]] &lt; 0.02
)</f>
        <v>1</v>
      </c>
      <c r="J48" t="b">
        <f>IF(
    RawData_Query[[#This Row],[PutWallStrike]]="",
    FALSE,
    ABS(RawData_Query[[#This Row],[PutWallStrike]] - RawData_Query[[#This Row],[Price]]) / RawData_Query[[#This Row],[Price]] &lt; 0.02
)</f>
        <v>0</v>
      </c>
      <c r="K48" t="str">
        <f>IF(RawData_Query[[#This Row],[FlipStrike]]="","",
   IF(RawData_Query[[#This Row],[FlipStrike]] &gt; RawData_Query[[#This Row],[Price]],"Below Flip","Above Flip")
)</f>
        <v>Above Flip</v>
      </c>
      <c r="L48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48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25</v>
      </c>
      <c r="N48" t="str">
        <f>IF(LogicEngineClean[[#This Row],[BullScore]]&gt;LogicEngineClean[[#This Row],[BearScore]],"Call",
   IF(LogicEngineClean[[#This Row],[BearScore]]&gt;LogicEngineClean[[#This Row],[BullScore]],"Put","Avoid")
)</f>
        <v>Call</v>
      </c>
      <c r="O48">
        <f>MAX(LogicEngineClean[[#This Row],[BullScore]],LogicEngineClean[[#This Row],[BearScore]])</f>
        <v>35</v>
      </c>
      <c r="P48" t="str">
        <f>"Bias: " &amp; LogicEngineClean[[#This Row],[TradeBias]] &amp;
" | Regime: " &amp; LogicEngineClean[[#This Row],[GammaRegime]] &amp;
" | Delta: " &amp; LogicEngineClean[[#This Row],[DeltaLean]]</f>
        <v>Bias: Call | Regime: Long Gamma | Delta: Dealers Long</v>
      </c>
      <c r="Q48">
        <f>IF(LogicEngineClean[[#This Row],[GammaRegime]]="Short Gamma",20,0)</f>
        <v>0</v>
      </c>
      <c r="R48">
        <f>IF(LogicEngineClean[[#This Row],[DeltaLean]]="Dealers Long",20,0)</f>
        <v>20</v>
      </c>
      <c r="S48">
        <f>IF(LogicEngineClean[[#This Row],[VannaBias]]="Upside Drift",20,
IF(LogicEngineClean[[#This Row],[VannaBias]]="Downside Drift",20,10))</f>
        <v>20</v>
      </c>
      <c r="T48">
        <f>IF(LogicEngineClean[[#This Row],[CharmBias]]="Sell Into Close",20,0)</f>
        <v>20</v>
      </c>
      <c r="U48">
        <f>IFERROR(IF(OR(LogicEngineClean[[#This Row],[CallWallFlag]]=TRUE,LogicEngineClean[[#This Row],[PutWallFlag]]=TRUE),10,0)
+
IF(LogicEngineClean[[#This Row],[FlipFlag]]="Below Flip",10,0),"")</f>
        <v>10</v>
      </c>
      <c r="V48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48" s="4" t="str" cm="1">
        <f t="array" ref="W48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Range Reversion</v>
      </c>
    </row>
    <row r="49" spans="1:23" x14ac:dyDescent="0.25">
      <c r="A49" t="str">
        <f>RawData_Query[[#This Row],[Ticker]]</f>
        <v>HD</v>
      </c>
      <c r="B49">
        <f>RawData_Query[[#This Row],[Tier]]</f>
        <v>2</v>
      </c>
      <c r="C49">
        <v>5</v>
      </c>
      <c r="D49" t="str">
        <f>IF(RawData_Query[[#This Row],[NetGamma]]&gt;0,"Long Gamma","Short Gamma")</f>
        <v>Long Gamma</v>
      </c>
      <c r="E49" t="str">
        <f>IF(RawData_Query[[#This Row],[NetDelta]]&gt;0,"Dealers Long","Dealers Short")</f>
        <v>Dealers Long</v>
      </c>
      <c r="F49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49" t="str">
        <f>IF(RawData_Query[[#This Row],[NetCharm]]&lt;0,"Sell Into Close","Buy Into Close")</f>
        <v>Sell Into Close</v>
      </c>
      <c r="H49" t="str" cm="1">
        <f t="array" ref="H49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49" t="b">
        <f>IF(
    RawData_Query[[#This Row],[CallWallStrike]]="",
    FALSE,
    ABS(RawData_Query[[#This Row],[CallWallStrike]] - RawData_Query[[#This Row],[Price]]) / RawData_Query[[#This Row],[Price]] &lt; 0.02
)</f>
        <v>0</v>
      </c>
      <c r="J49" t="b">
        <f>IF(
    RawData_Query[[#This Row],[PutWallStrike]]="",
    FALSE,
    ABS(RawData_Query[[#This Row],[PutWallStrike]] - RawData_Query[[#This Row],[Price]]) / RawData_Query[[#This Row],[Price]] &lt; 0.02
)</f>
        <v>0</v>
      </c>
      <c r="K49" t="str">
        <f>IF(RawData_Query[[#This Row],[FlipStrike]]="","",
   IF(RawData_Query[[#This Row],[FlipStrike]] &gt; RawData_Query[[#This Row],[Price]],"Below Flip","Above Flip")
)</f>
        <v>Above Flip</v>
      </c>
      <c r="L49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49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49" t="str">
        <f>IF(LogicEngineClean[[#This Row],[BullScore]]&gt;LogicEngineClean[[#This Row],[BearScore]],"Call",
   IF(LogicEngineClean[[#This Row],[BearScore]]&gt;LogicEngineClean[[#This Row],[BullScore]],"Put","Avoid")
)</f>
        <v>Put</v>
      </c>
      <c r="O49">
        <f>MAX(LogicEngineClean[[#This Row],[BullScore]],LogicEngineClean[[#This Row],[BearScore]])</f>
        <v>30</v>
      </c>
      <c r="P49" t="str">
        <f>"Bias: " &amp; LogicEngineClean[[#This Row],[TradeBias]] &amp;
" | Regime: " &amp; LogicEngineClean[[#This Row],[GammaRegime]] &amp;
" | Delta: " &amp; LogicEngineClean[[#This Row],[DeltaLean]]</f>
        <v>Bias: Put | Regime: Long Gamma | Delta: Dealers Long</v>
      </c>
      <c r="Q49">
        <f>IF(LogicEngineClean[[#This Row],[GammaRegime]]="Short Gamma",20,0)</f>
        <v>0</v>
      </c>
      <c r="R49">
        <f>IF(LogicEngineClean[[#This Row],[DeltaLean]]="Dealers Long",20,0)</f>
        <v>20</v>
      </c>
      <c r="S49">
        <f>IF(LogicEngineClean[[#This Row],[VannaBias]]="Upside Drift",20,
IF(LogicEngineClean[[#This Row],[VannaBias]]="Downside Drift",20,10))</f>
        <v>10</v>
      </c>
      <c r="T49">
        <f>IF(LogicEngineClean[[#This Row],[CharmBias]]="Sell Into Close",20,0)</f>
        <v>20</v>
      </c>
      <c r="U49">
        <f>IFERROR(IF(OR(LogicEngineClean[[#This Row],[CallWallFlag]]=TRUE,LogicEngineClean[[#This Row],[PutWallFlag]]=TRUE),10,0)
+
IF(LogicEngineClean[[#This Row],[FlipFlag]]="Below Flip",10,0),"")</f>
        <v>0</v>
      </c>
      <c r="V49">
        <f>IFERROR(LogicEngineClean[[#This Row],[GammaScore]] + LogicEngineClean[[#This Row],[DeltaScore]] + LogicEngineClean[[#This Row],[VannaScore]] + LogicEngineClean[[#This Row],[CharmScore]] + LogicEngineClean[[#This Row],[WallFlipScore]],"")</f>
        <v>50</v>
      </c>
      <c r="W49" s="4" t="str" cm="1">
        <f t="array" ref="W49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50" spans="1:23" x14ac:dyDescent="0.25">
      <c r="A50" t="str">
        <f>RawData_Query[[#This Row],[Ticker]]</f>
        <v>COST</v>
      </c>
      <c r="B50">
        <f>RawData_Query[[#This Row],[Tier]]</f>
        <v>2</v>
      </c>
      <c r="C50">
        <v>5</v>
      </c>
      <c r="D50" t="str">
        <f>IF(RawData_Query[[#This Row],[NetGamma]]&gt;0,"Long Gamma","Short Gamma")</f>
        <v>Short Gamma</v>
      </c>
      <c r="E50" t="str">
        <f>IF(RawData_Query[[#This Row],[NetDelta]]&gt;0,"Dealers Long","Dealers Short")</f>
        <v>Dealers Long</v>
      </c>
      <c r="F50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50" t="str">
        <f>IF(RawData_Query[[#This Row],[NetCharm]]&lt;0,"Sell Into Close","Buy Into Close")</f>
        <v>Sell Into Close</v>
      </c>
      <c r="H50" t="str" cm="1">
        <f t="array" ref="H50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50" t="b">
        <f>IF(
    RawData_Query[[#This Row],[CallWallStrike]]="",
    FALSE,
    ABS(RawData_Query[[#This Row],[CallWallStrike]] - RawData_Query[[#This Row],[Price]]) / RawData_Query[[#This Row],[Price]] &lt; 0.02
)</f>
        <v>0</v>
      </c>
      <c r="J50" t="b">
        <f>IF(
    RawData_Query[[#This Row],[PutWallStrike]]="",
    FALSE,
    ABS(RawData_Query[[#This Row],[PutWallStrike]] - RawData_Query[[#This Row],[Price]]) / RawData_Query[[#This Row],[Price]] &lt; 0.02
)</f>
        <v>1</v>
      </c>
      <c r="K50" t="str">
        <f>IF(RawData_Query[[#This Row],[FlipStrike]]="","",
   IF(RawData_Query[[#This Row],[FlipStrike]] &gt; RawData_Query[[#This Row],[Price]],"Below Flip","Above Flip")
)</f>
        <v>Above Flip</v>
      </c>
      <c r="L50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5</v>
      </c>
      <c r="M50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50" t="str">
        <f>IF(LogicEngineClean[[#This Row],[BullScore]]&gt;LogicEngineClean[[#This Row],[BearScore]],"Call",
   IF(LogicEngineClean[[#This Row],[BearScore]]&gt;LogicEngineClean[[#This Row],[BullScore]],"Put","Avoid")
)</f>
        <v>Put</v>
      </c>
      <c r="O50">
        <f>MAX(LogicEngineClean[[#This Row],[BullScore]],LogicEngineClean[[#This Row],[BearScore]])</f>
        <v>45</v>
      </c>
      <c r="P50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50">
        <f>IF(LogicEngineClean[[#This Row],[GammaRegime]]="Short Gamma",20,0)</f>
        <v>20</v>
      </c>
      <c r="R50">
        <f>IF(LogicEngineClean[[#This Row],[DeltaLean]]="Dealers Long",20,0)</f>
        <v>20</v>
      </c>
      <c r="S50">
        <f>IF(LogicEngineClean[[#This Row],[VannaBias]]="Upside Drift",20,
IF(LogicEngineClean[[#This Row],[VannaBias]]="Downside Drift",20,10))</f>
        <v>10</v>
      </c>
      <c r="T50">
        <f>IF(LogicEngineClean[[#This Row],[CharmBias]]="Sell Into Close",20,0)</f>
        <v>20</v>
      </c>
      <c r="U50">
        <f>IFERROR(IF(OR(LogicEngineClean[[#This Row],[CallWallFlag]]=TRUE,LogicEngineClean[[#This Row],[PutWallFlag]]=TRUE),10,0)
+
IF(LogicEngineClean[[#This Row],[FlipFlag]]="Below Flip",10,0),"")</f>
        <v>10</v>
      </c>
      <c r="V50">
        <f>IFERROR(LogicEngineClean[[#This Row],[GammaScore]] + LogicEngineClean[[#This Row],[DeltaScore]] + LogicEngineClean[[#This Row],[VannaScore]] + LogicEngineClean[[#This Row],[CharmScore]] + LogicEngineClean[[#This Row],[WallFlipScore]],"")</f>
        <v>80</v>
      </c>
      <c r="W50" s="4" t="str" cm="1">
        <f t="array" ref="W50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51" spans="1:23" x14ac:dyDescent="0.25">
      <c r="A51" t="str">
        <f>RawData_Query[[#This Row],[Ticker]]</f>
        <v>WMT</v>
      </c>
      <c r="B51">
        <f>RawData_Query[[#This Row],[Tier]]</f>
        <v>2</v>
      </c>
      <c r="C51">
        <v>5</v>
      </c>
      <c r="D51" t="str">
        <f>IF(RawData_Query[[#This Row],[NetGamma]]&gt;0,"Long Gamma","Short Gamma")</f>
        <v>Short Gamma</v>
      </c>
      <c r="E51" t="str">
        <f>IF(RawData_Query[[#This Row],[NetDelta]]&gt;0,"Dealers Long","Dealers Short")</f>
        <v>Dealers Long</v>
      </c>
      <c r="F51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51" t="str">
        <f>IF(RawData_Query[[#This Row],[NetCharm]]&lt;0,"Sell Into Close","Buy Into Close")</f>
        <v>Sell Into Close</v>
      </c>
      <c r="H51" t="str" cm="1">
        <f t="array" ref="H51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51" t="b">
        <f>IF(
    RawData_Query[[#This Row],[CallWallStrike]]="",
    FALSE,
    ABS(RawData_Query[[#This Row],[CallWallStrike]] - RawData_Query[[#This Row],[Price]]) / RawData_Query[[#This Row],[Price]] &lt; 0.02
)</f>
        <v>0</v>
      </c>
      <c r="J51" t="b">
        <f>IF(
    RawData_Query[[#This Row],[PutWallStrike]]="",
    FALSE,
    ABS(RawData_Query[[#This Row],[PutWallStrike]] - RawData_Query[[#This Row],[Price]]) / RawData_Query[[#This Row],[Price]] &lt; 0.02
)</f>
        <v>0</v>
      </c>
      <c r="K51" t="str">
        <f>IF(RawData_Query[[#This Row],[FlipStrike]]="","",
   IF(RawData_Query[[#This Row],[FlipStrike]] &gt; RawData_Query[[#This Row],[Price]],"Below Flip","Above Flip")
)</f>
        <v>Above Flip</v>
      </c>
      <c r="L51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20</v>
      </c>
      <c r="M51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40</v>
      </c>
      <c r="N51" t="str">
        <f>IF(LogicEngineClean[[#This Row],[BullScore]]&gt;LogicEngineClean[[#This Row],[BearScore]],"Call",
   IF(LogicEngineClean[[#This Row],[BearScore]]&gt;LogicEngineClean[[#This Row],[BullScore]],"Put","Avoid")
)</f>
        <v>Put</v>
      </c>
      <c r="O51">
        <f>MAX(LogicEngineClean[[#This Row],[BullScore]],LogicEngineClean[[#This Row],[BearScore]])</f>
        <v>40</v>
      </c>
      <c r="P51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51">
        <f>IF(LogicEngineClean[[#This Row],[GammaRegime]]="Short Gamma",20,0)</f>
        <v>20</v>
      </c>
      <c r="R51">
        <f>IF(LogicEngineClean[[#This Row],[DeltaLean]]="Dealers Long",20,0)</f>
        <v>20</v>
      </c>
      <c r="S51">
        <f>IF(LogicEngineClean[[#This Row],[VannaBias]]="Upside Drift",20,
IF(LogicEngineClean[[#This Row],[VannaBias]]="Downside Drift",20,10))</f>
        <v>20</v>
      </c>
      <c r="T51">
        <f>IF(LogicEngineClean[[#This Row],[CharmBias]]="Sell Into Close",20,0)</f>
        <v>20</v>
      </c>
      <c r="U51">
        <f>IFERROR(IF(OR(LogicEngineClean[[#This Row],[CallWallFlag]]=TRUE,LogicEngineClean[[#This Row],[PutWallFlag]]=TRUE),10,0)
+
IF(LogicEngineClean[[#This Row],[FlipFlag]]="Below Flip",10,0),"")</f>
        <v>0</v>
      </c>
      <c r="V51">
        <f>IFERROR(LogicEngineClean[[#This Row],[GammaScore]] + LogicEngineClean[[#This Row],[DeltaScore]] + LogicEngineClean[[#This Row],[VannaScore]] + LogicEngineClean[[#This Row],[CharmScore]] + LogicEngineClean[[#This Row],[WallFlipScore]],"")</f>
        <v>80</v>
      </c>
      <c r="W51" s="4" t="str" cm="1">
        <f t="array" ref="W51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Squeeze Up</v>
      </c>
    </row>
    <row r="52" spans="1:23" x14ac:dyDescent="0.25">
      <c r="A52" t="str">
        <f>RawData_Query[[#This Row],[Ticker]]</f>
        <v>MS</v>
      </c>
      <c r="B52">
        <f>RawData_Query[[#This Row],[Tier]]</f>
        <v>1</v>
      </c>
      <c r="C52">
        <v>10</v>
      </c>
      <c r="D52" t="str">
        <f>IF(RawData_Query[[#This Row],[NetGamma]]&gt;0,"Long Gamma","Short Gamma")</f>
        <v>Long Gamma</v>
      </c>
      <c r="E52" t="str">
        <f>IF(RawData_Query[[#This Row],[NetDelta]]&gt;0,"Dealers Long","Dealers Short")</f>
        <v>Dealers Long</v>
      </c>
      <c r="F52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52" t="str">
        <f>IF(RawData_Query[[#This Row],[NetCharm]]&lt;0,"Sell Into Close","Buy Into Close")</f>
        <v>Sell Into Close</v>
      </c>
      <c r="H52" t="str" cm="1">
        <f t="array" ref="H52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52" t="b">
        <f>IF(
    RawData_Query[[#This Row],[CallWallStrike]]="",
    FALSE,
    ABS(RawData_Query[[#This Row],[CallWallStrike]] - RawData_Query[[#This Row],[Price]]) / RawData_Query[[#This Row],[Price]] &lt; 0.02
)</f>
        <v>1</v>
      </c>
      <c r="J52" t="b">
        <f>IF(
    RawData_Query[[#This Row],[PutWallStrike]]="",
    FALSE,
    ABS(RawData_Query[[#This Row],[PutWallStrike]] - RawData_Query[[#This Row],[Price]]) / RawData_Query[[#This Row],[Price]] &lt; 0.02
)</f>
        <v>0</v>
      </c>
      <c r="K52" t="str">
        <f>IF(RawData_Query[[#This Row],[FlipStrike]]="","",
   IF(RawData_Query[[#This Row],[FlipStrike]] &gt; RawData_Query[[#This Row],[Price]],"Below Flip","Above Flip")
)</f>
        <v>Below Flip</v>
      </c>
      <c r="L52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40</v>
      </c>
      <c r="M52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52" t="str">
        <f>IF(LogicEngineClean[[#This Row],[BullScore]]&gt;LogicEngineClean[[#This Row],[BearScore]],"Call",
   IF(LogicEngineClean[[#This Row],[BearScore]]&gt;LogicEngineClean[[#This Row],[BullScore]],"Put","Avoid")
)</f>
        <v>Call</v>
      </c>
      <c r="O52">
        <f>MAX(LogicEngineClean[[#This Row],[BullScore]],LogicEngineClean[[#This Row],[BearScore]])</f>
        <v>40</v>
      </c>
      <c r="P52" t="str">
        <f>"Bias: " &amp; LogicEngineClean[[#This Row],[TradeBias]] &amp;
" | Regime: " &amp; LogicEngineClean[[#This Row],[GammaRegime]] &amp;
" | Delta: " &amp; LogicEngineClean[[#This Row],[DeltaLean]]</f>
        <v>Bias: Call | Regime: Long Gamma | Delta: Dealers Long</v>
      </c>
      <c r="Q52">
        <f>IF(LogicEngineClean[[#This Row],[GammaRegime]]="Short Gamma",20,0)</f>
        <v>0</v>
      </c>
      <c r="R52">
        <f>IF(LogicEngineClean[[#This Row],[DeltaLean]]="Dealers Long",20,0)</f>
        <v>20</v>
      </c>
      <c r="S52">
        <f>IF(LogicEngineClean[[#This Row],[VannaBias]]="Upside Drift",20,
IF(LogicEngineClean[[#This Row],[VannaBias]]="Downside Drift",20,10))</f>
        <v>20</v>
      </c>
      <c r="T52">
        <f>IF(LogicEngineClean[[#This Row],[CharmBias]]="Sell Into Close",20,0)</f>
        <v>20</v>
      </c>
      <c r="U52">
        <f>IFERROR(IF(OR(LogicEngineClean[[#This Row],[CallWallFlag]]=TRUE,LogicEngineClean[[#This Row],[PutWallFlag]]=TRUE),10,0)
+
IF(LogicEngineClean[[#This Row],[FlipFlag]]="Below Flip",10,0),"")</f>
        <v>20</v>
      </c>
      <c r="V52">
        <f>IFERROR(LogicEngineClean[[#This Row],[GammaScore]] + LogicEngineClean[[#This Row],[DeltaScore]] + LogicEngineClean[[#This Row],[VannaScore]] + LogicEngineClean[[#This Row],[CharmScore]] + LogicEngineClean[[#This Row],[WallFlipScore]],"")</f>
        <v>80</v>
      </c>
      <c r="W52" s="4" t="str" cm="1">
        <f t="array" ref="W52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Range Reversion</v>
      </c>
    </row>
    <row r="53" spans="1:23" x14ac:dyDescent="0.25">
      <c r="A53" t="str">
        <f>RawData_Query[[#This Row],[Ticker]]</f>
        <v>GS</v>
      </c>
      <c r="B53">
        <f>RawData_Query[[#This Row],[Tier]]</f>
        <v>1</v>
      </c>
      <c r="C53">
        <v>10</v>
      </c>
      <c r="D53" t="str">
        <f>IF(RawData_Query[[#This Row],[NetGamma]]&gt;0,"Long Gamma","Short Gamma")</f>
        <v>Short Gamma</v>
      </c>
      <c r="E53" t="str">
        <f>IF(RawData_Query[[#This Row],[NetDelta]]&gt;0,"Dealers Long","Dealers Short")</f>
        <v>Dealers Long</v>
      </c>
      <c r="F53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53" t="str">
        <f>IF(RawData_Query[[#This Row],[NetCharm]]&lt;0,"Sell Into Close","Buy Into Close")</f>
        <v>Sell Into Close</v>
      </c>
      <c r="H53" t="str" cm="1">
        <f t="array" ref="H53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53" t="b">
        <f>IF(
    RawData_Query[[#This Row],[CallWallStrike]]="",
    FALSE,
    ABS(RawData_Query[[#This Row],[CallWallStrike]] - RawData_Query[[#This Row],[Price]]) / RawData_Query[[#This Row],[Price]] &lt; 0.02
)</f>
        <v>1</v>
      </c>
      <c r="J53" t="b">
        <f>IF(
    RawData_Query[[#This Row],[PutWallStrike]]="",
    FALSE,
    ABS(RawData_Query[[#This Row],[PutWallStrike]] - RawData_Query[[#This Row],[Price]]) / RawData_Query[[#This Row],[Price]] &lt; 0.02
)</f>
        <v>0</v>
      </c>
      <c r="K53" t="str">
        <f>IF(RawData_Query[[#This Row],[FlipStrike]]="","",
   IF(RawData_Query[[#This Row],[FlipStrike]] &gt; RawData_Query[[#This Row],[Price]],"Below Flip","Above Flip")
)</f>
        <v>Above Flip</v>
      </c>
      <c r="L53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30</v>
      </c>
      <c r="M53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40</v>
      </c>
      <c r="N53" t="str">
        <f>IF(LogicEngineClean[[#This Row],[BullScore]]&gt;LogicEngineClean[[#This Row],[BearScore]],"Call",
   IF(LogicEngineClean[[#This Row],[BearScore]]&gt;LogicEngineClean[[#This Row],[BullScore]],"Put","Avoid")
)</f>
        <v>Put</v>
      </c>
      <c r="O53">
        <f>MAX(LogicEngineClean[[#This Row],[BullScore]],LogicEngineClean[[#This Row],[BearScore]])</f>
        <v>40</v>
      </c>
      <c r="P53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53">
        <f>IF(LogicEngineClean[[#This Row],[GammaRegime]]="Short Gamma",20,0)</f>
        <v>20</v>
      </c>
      <c r="R53">
        <f>IF(LogicEngineClean[[#This Row],[DeltaLean]]="Dealers Long",20,0)</f>
        <v>20</v>
      </c>
      <c r="S53">
        <f>IF(LogicEngineClean[[#This Row],[VannaBias]]="Upside Drift",20,
IF(LogicEngineClean[[#This Row],[VannaBias]]="Downside Drift",20,10))</f>
        <v>20</v>
      </c>
      <c r="T53">
        <f>IF(LogicEngineClean[[#This Row],[CharmBias]]="Sell Into Close",20,0)</f>
        <v>20</v>
      </c>
      <c r="U53">
        <f>IFERROR(IF(OR(LogicEngineClean[[#This Row],[CallWallFlag]]=TRUE,LogicEngineClean[[#This Row],[PutWallFlag]]=TRUE),10,0)
+
IF(LogicEngineClean[[#This Row],[FlipFlag]]="Below Flip",10,0),"")</f>
        <v>10</v>
      </c>
      <c r="V53">
        <f>IFERROR(LogicEngineClean[[#This Row],[GammaScore]] + LogicEngineClean[[#This Row],[DeltaScore]] + LogicEngineClean[[#This Row],[VannaScore]] + LogicEngineClean[[#This Row],[CharmScore]] + LogicEngineClean[[#This Row],[WallFlipScore]],"")</f>
        <v>90</v>
      </c>
      <c r="W53" s="4" t="str" cm="1">
        <f t="array" ref="W53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Squeeze Up</v>
      </c>
    </row>
    <row r="54" spans="1:23" x14ac:dyDescent="0.25">
      <c r="A54" t="str">
        <f>RawData_Query[[#This Row],[Ticker]]</f>
        <v>JPM</v>
      </c>
      <c r="B54">
        <f>RawData_Query[[#This Row],[Tier]]</f>
        <v>1</v>
      </c>
      <c r="C54">
        <v>10</v>
      </c>
      <c r="D54" t="str">
        <f>IF(RawData_Query[[#This Row],[NetGamma]]&gt;0,"Long Gamma","Short Gamma")</f>
        <v>Short Gamma</v>
      </c>
      <c r="E54" t="str">
        <f>IF(RawData_Query[[#This Row],[NetDelta]]&gt;0,"Dealers Long","Dealers Short")</f>
        <v>Dealers Short</v>
      </c>
      <c r="F54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54" t="str">
        <f>IF(RawData_Query[[#This Row],[NetCharm]]&lt;0,"Sell Into Close","Buy Into Close")</f>
        <v>Sell Into Close</v>
      </c>
      <c r="H54" t="str" cm="1">
        <f t="array" ref="H54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54" t="b">
        <f>IF(
    RawData_Query[[#This Row],[CallWallStrike]]="",
    FALSE,
    ABS(RawData_Query[[#This Row],[CallWallStrike]] - RawData_Query[[#This Row],[Price]]) / RawData_Query[[#This Row],[Price]] &lt; 0.02
)</f>
        <v>0</v>
      </c>
      <c r="J54" t="b">
        <f>IF(
    RawData_Query[[#This Row],[PutWallStrike]]="",
    FALSE,
    ABS(RawData_Query[[#This Row],[PutWallStrike]] - RawData_Query[[#This Row],[Price]]) / RawData_Query[[#This Row],[Price]] &lt; 0.02
)</f>
        <v>0</v>
      </c>
      <c r="K54" t="str">
        <f>IF(RawData_Query[[#This Row],[FlipStrike]]="","",
   IF(RawData_Query[[#This Row],[FlipStrike]] &gt; RawData_Query[[#This Row],[Price]],"Below Flip","Above Flip")
)</f>
        <v>Above Flip</v>
      </c>
      <c r="L54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54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54" t="str">
        <f>IF(LogicEngineClean[[#This Row],[BullScore]]&gt;LogicEngineClean[[#This Row],[BearScore]],"Call",
   IF(LogicEngineClean[[#This Row],[BearScore]]&gt;LogicEngineClean[[#This Row],[BullScore]],"Put","Avoid")
)</f>
        <v>Avoid</v>
      </c>
      <c r="O54">
        <f>MAX(LogicEngineClean[[#This Row],[BullScore]],LogicEngineClean[[#This Row],[BearScore]])</f>
        <v>35</v>
      </c>
      <c r="P54" t="str">
        <f>"Bias: " &amp; LogicEngineClean[[#This Row],[TradeBias]] &amp;
" | Regime: " &amp; LogicEngineClean[[#This Row],[GammaRegime]] &amp;
" | Delta: " &amp; LogicEngineClean[[#This Row],[DeltaLean]]</f>
        <v>Bias: Avoid | Regime: Short Gamma | Delta: Dealers Short</v>
      </c>
      <c r="Q54">
        <f>IF(LogicEngineClean[[#This Row],[GammaRegime]]="Short Gamma",20,0)</f>
        <v>20</v>
      </c>
      <c r="R54">
        <f>IF(LogicEngineClean[[#This Row],[DeltaLean]]="Dealers Long",20,0)</f>
        <v>0</v>
      </c>
      <c r="S54">
        <f>IF(LogicEngineClean[[#This Row],[VannaBias]]="Upside Drift",20,
IF(LogicEngineClean[[#This Row],[VannaBias]]="Downside Drift",20,10))</f>
        <v>20</v>
      </c>
      <c r="T54">
        <f>IF(LogicEngineClean[[#This Row],[CharmBias]]="Sell Into Close",20,0)</f>
        <v>20</v>
      </c>
      <c r="U54">
        <f>IFERROR(IF(OR(LogicEngineClean[[#This Row],[CallWallFlag]]=TRUE,LogicEngineClean[[#This Row],[PutWallFlag]]=TRUE),10,0)
+
IF(LogicEngineClean[[#This Row],[FlipFlag]]="Below Flip",10,0),"")</f>
        <v>0</v>
      </c>
      <c r="V54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54" s="4" t="str" cm="1">
        <f t="array" ref="W54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55" spans="1:23" x14ac:dyDescent="0.25">
      <c r="A55" t="str">
        <f>RawData_Query[[#This Row],[Ticker]]</f>
        <v>BAC</v>
      </c>
      <c r="B55">
        <f>RawData_Query[[#This Row],[Tier]]</f>
        <v>1</v>
      </c>
      <c r="C55">
        <v>10</v>
      </c>
      <c r="D55" t="str">
        <f>IF(RawData_Query[[#This Row],[NetGamma]]&gt;0,"Long Gamma","Short Gamma")</f>
        <v>Long Gamma</v>
      </c>
      <c r="E55" t="str">
        <f>IF(RawData_Query[[#This Row],[NetDelta]]&gt;0,"Dealers Long","Dealers Short")</f>
        <v>Dealers Long</v>
      </c>
      <c r="F55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55" t="str">
        <f>IF(RawData_Query[[#This Row],[NetCharm]]&lt;0,"Sell Into Close","Buy Into Close")</f>
        <v>Sell Into Close</v>
      </c>
      <c r="H55" t="str" cm="1">
        <f t="array" ref="H55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55" t="b">
        <f>IF(
    RawData_Query[[#This Row],[CallWallStrike]]="",
    FALSE,
    ABS(RawData_Query[[#This Row],[CallWallStrike]] - RawData_Query[[#This Row],[Price]]) / RawData_Query[[#This Row],[Price]] &lt; 0.02
)</f>
        <v>0</v>
      </c>
      <c r="J55" t="b">
        <f>IF(
    RawData_Query[[#This Row],[PutWallStrike]]="",
    FALSE,
    ABS(RawData_Query[[#This Row],[PutWallStrike]] - RawData_Query[[#This Row],[Price]]) / RawData_Query[[#This Row],[Price]] &lt; 0.02
)</f>
        <v>0</v>
      </c>
      <c r="K55" t="str">
        <f>IF(RawData_Query[[#This Row],[FlipStrike]]="","",
   IF(RawData_Query[[#This Row],[FlipStrike]] &gt; RawData_Query[[#This Row],[Price]],"Below Flip","Above Flip")
)</f>
        <v>Below Flip</v>
      </c>
      <c r="L55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55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55" t="str">
        <f>IF(LogicEngineClean[[#This Row],[BullScore]]&gt;LogicEngineClean[[#This Row],[BearScore]],"Call",
   IF(LogicEngineClean[[#This Row],[BearScore]]&gt;LogicEngineClean[[#This Row],[BullScore]],"Put","Avoid")
)</f>
        <v>Avoid</v>
      </c>
      <c r="O55">
        <f>MAX(LogicEngineClean[[#This Row],[BullScore]],LogicEngineClean[[#This Row],[BearScore]])</f>
        <v>35</v>
      </c>
      <c r="P55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55">
        <f>IF(LogicEngineClean[[#This Row],[GammaRegime]]="Short Gamma",20,0)</f>
        <v>0</v>
      </c>
      <c r="R55">
        <f>IF(LogicEngineClean[[#This Row],[DeltaLean]]="Dealers Long",20,0)</f>
        <v>20</v>
      </c>
      <c r="S55">
        <f>IF(LogicEngineClean[[#This Row],[VannaBias]]="Upside Drift",20,
IF(LogicEngineClean[[#This Row],[VannaBias]]="Downside Drift",20,10))</f>
        <v>20</v>
      </c>
      <c r="T55">
        <f>IF(LogicEngineClean[[#This Row],[CharmBias]]="Sell Into Close",20,0)</f>
        <v>20</v>
      </c>
      <c r="U55">
        <f>IFERROR(IF(OR(LogicEngineClean[[#This Row],[CallWallFlag]]=TRUE,LogicEngineClean[[#This Row],[PutWallFlag]]=TRUE),10,0)
+
IF(LogicEngineClean[[#This Row],[FlipFlag]]="Below Flip",10,0),"")</f>
        <v>10</v>
      </c>
      <c r="V55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55" s="4" t="str" cm="1">
        <f t="array" ref="W55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56" spans="1:23" x14ac:dyDescent="0.25">
      <c r="A56" t="str">
        <f>RawData_Query[[#This Row],[Ticker]]</f>
        <v>SCHW</v>
      </c>
      <c r="B56">
        <f>RawData_Query[[#This Row],[Tier]]</f>
        <v>2</v>
      </c>
      <c r="C56">
        <v>5</v>
      </c>
      <c r="D56" t="str">
        <f>IF(RawData_Query[[#This Row],[NetGamma]]&gt;0,"Long Gamma","Short Gamma")</f>
        <v>Short Gamma</v>
      </c>
      <c r="E56" t="str">
        <f>IF(RawData_Query[[#This Row],[NetDelta]]&gt;0,"Dealers Long","Dealers Short")</f>
        <v>Dealers Short</v>
      </c>
      <c r="F56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56" t="str">
        <f>IF(RawData_Query[[#This Row],[NetCharm]]&lt;0,"Sell Into Close","Buy Into Close")</f>
        <v>Sell Into Close</v>
      </c>
      <c r="H56" t="str" cm="1">
        <f t="array" ref="H56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56" t="b">
        <f>IF(
    RawData_Query[[#This Row],[CallWallStrike]]="",
    FALSE,
    ABS(RawData_Query[[#This Row],[CallWallStrike]] - RawData_Query[[#This Row],[Price]]) / RawData_Query[[#This Row],[Price]] &lt; 0.02
)</f>
        <v>0</v>
      </c>
      <c r="J56" t="b">
        <f>IF(
    RawData_Query[[#This Row],[PutWallStrike]]="",
    FALSE,
    ABS(RawData_Query[[#This Row],[PutWallStrike]] - RawData_Query[[#This Row],[Price]]) / RawData_Query[[#This Row],[Price]] &lt; 0.02
)</f>
        <v>1</v>
      </c>
      <c r="K56" t="str">
        <f>IF(RawData_Query[[#This Row],[FlipStrike]]="","",
   IF(RawData_Query[[#This Row],[FlipStrike]] &gt; RawData_Query[[#This Row],[Price]],"Below Flip","Above Flip")
)</f>
        <v>Below Flip</v>
      </c>
      <c r="L56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56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56" t="str">
        <f>IF(LogicEngineClean[[#This Row],[BullScore]]&gt;LogicEngineClean[[#This Row],[BearScore]],"Call",
   IF(LogicEngineClean[[#This Row],[BearScore]]&gt;LogicEngineClean[[#This Row],[BullScore]],"Put","Avoid")
)</f>
        <v>Put</v>
      </c>
      <c r="O56">
        <f>MAX(LogicEngineClean[[#This Row],[BullScore]],LogicEngineClean[[#This Row],[BearScore]])</f>
        <v>35</v>
      </c>
      <c r="P56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Short</v>
      </c>
      <c r="Q56">
        <f>IF(LogicEngineClean[[#This Row],[GammaRegime]]="Short Gamma",20,0)</f>
        <v>20</v>
      </c>
      <c r="R56">
        <f>IF(LogicEngineClean[[#This Row],[DeltaLean]]="Dealers Long",20,0)</f>
        <v>0</v>
      </c>
      <c r="S56">
        <f>IF(LogicEngineClean[[#This Row],[VannaBias]]="Upside Drift",20,
IF(LogicEngineClean[[#This Row],[VannaBias]]="Downside Drift",20,10))</f>
        <v>10</v>
      </c>
      <c r="T56">
        <f>IF(LogicEngineClean[[#This Row],[CharmBias]]="Sell Into Close",20,0)</f>
        <v>20</v>
      </c>
      <c r="U56">
        <f>IFERROR(IF(OR(LogicEngineClean[[#This Row],[CallWallFlag]]=TRUE,LogicEngineClean[[#This Row],[PutWallFlag]]=TRUE),10,0)
+
IF(LogicEngineClean[[#This Row],[FlipFlag]]="Below Flip",10,0),"")</f>
        <v>20</v>
      </c>
      <c r="V56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56" s="4" t="str" cm="1">
        <f t="array" ref="W56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Directional Breakout</v>
      </c>
    </row>
    <row r="57" spans="1:23" x14ac:dyDescent="0.25">
      <c r="A57" t="str">
        <f>RawData_Query[[#This Row],[Ticker]]</f>
        <v>SOFI</v>
      </c>
      <c r="B57">
        <f>RawData_Query[[#This Row],[Tier]]</f>
        <v>2</v>
      </c>
      <c r="C57">
        <v>5</v>
      </c>
      <c r="D57" t="str">
        <f>IF(RawData_Query[[#This Row],[NetGamma]]&gt;0,"Long Gamma","Short Gamma")</f>
        <v>Long Gamma</v>
      </c>
      <c r="E57" t="str">
        <f>IF(RawData_Query[[#This Row],[NetDelta]]&gt;0,"Dealers Long","Dealers Short")</f>
        <v>Dealers Long</v>
      </c>
      <c r="F57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57" t="str">
        <f>IF(RawData_Query[[#This Row],[NetCharm]]&lt;0,"Sell Into Close","Buy Into Close")</f>
        <v>Sell Into Close</v>
      </c>
      <c r="H57" t="str" cm="1">
        <f t="array" ref="H57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57" t="b">
        <f>IF(
    RawData_Query[[#This Row],[CallWallStrike]]="",
    FALSE,
    ABS(RawData_Query[[#This Row],[CallWallStrike]] - RawData_Query[[#This Row],[Price]]) / RawData_Query[[#This Row],[Price]] &lt; 0.02
)</f>
        <v>0</v>
      </c>
      <c r="J57" t="b">
        <f>IF(
    RawData_Query[[#This Row],[PutWallStrike]]="",
    FALSE,
    ABS(RawData_Query[[#This Row],[PutWallStrike]] - RawData_Query[[#This Row],[Price]]) / RawData_Query[[#This Row],[Price]] &lt; 0.02
)</f>
        <v>0</v>
      </c>
      <c r="K57" t="str">
        <f>IF(RawData_Query[[#This Row],[FlipStrike]]="","",
   IF(RawData_Query[[#This Row],[FlipStrike]] &gt; RawData_Query[[#This Row],[Price]],"Below Flip","Above Flip")
)</f>
        <v>Above Flip</v>
      </c>
      <c r="L57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30</v>
      </c>
      <c r="M57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57" t="str">
        <f>IF(LogicEngineClean[[#This Row],[BullScore]]&gt;LogicEngineClean[[#This Row],[BearScore]],"Call",
   IF(LogicEngineClean[[#This Row],[BearScore]]&gt;LogicEngineClean[[#This Row],[BullScore]],"Put","Avoid")
)</f>
        <v>Avoid</v>
      </c>
      <c r="O57">
        <f>MAX(LogicEngineClean[[#This Row],[BullScore]],LogicEngineClean[[#This Row],[BearScore]])</f>
        <v>30</v>
      </c>
      <c r="P57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57">
        <f>IF(LogicEngineClean[[#This Row],[GammaRegime]]="Short Gamma",20,0)</f>
        <v>0</v>
      </c>
      <c r="R57">
        <f>IF(LogicEngineClean[[#This Row],[DeltaLean]]="Dealers Long",20,0)</f>
        <v>20</v>
      </c>
      <c r="S57">
        <f>IF(LogicEngineClean[[#This Row],[VannaBias]]="Upside Drift",20,
IF(LogicEngineClean[[#This Row],[VannaBias]]="Downside Drift",20,10))</f>
        <v>20</v>
      </c>
      <c r="T57">
        <f>IF(LogicEngineClean[[#This Row],[CharmBias]]="Sell Into Close",20,0)</f>
        <v>20</v>
      </c>
      <c r="U57">
        <f>IFERROR(IF(OR(LogicEngineClean[[#This Row],[CallWallFlag]]=TRUE,LogicEngineClean[[#This Row],[PutWallFlag]]=TRUE),10,0)
+
IF(LogicEngineClean[[#This Row],[FlipFlag]]="Below Flip",10,0),"")</f>
        <v>0</v>
      </c>
      <c r="V57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57" s="4" t="str" cm="1">
        <f t="array" ref="W57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58" spans="1:23" x14ac:dyDescent="0.25">
      <c r="A58" t="str">
        <f>RawData_Query[[#This Row],[Ticker]]</f>
        <v>WFC</v>
      </c>
      <c r="B58">
        <f>RawData_Query[[#This Row],[Tier]]</f>
        <v>1</v>
      </c>
      <c r="C58">
        <v>10</v>
      </c>
      <c r="D58" t="str">
        <f>IF(RawData_Query[[#This Row],[NetGamma]]&gt;0,"Long Gamma","Short Gamma")</f>
        <v>Short Gamma</v>
      </c>
      <c r="E58" t="str">
        <f>IF(RawData_Query[[#This Row],[NetDelta]]&gt;0,"Dealers Long","Dealers Short")</f>
        <v>Dealers Short</v>
      </c>
      <c r="F58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58" t="str">
        <f>IF(RawData_Query[[#This Row],[NetCharm]]&lt;0,"Sell Into Close","Buy Into Close")</f>
        <v>Sell Into Close</v>
      </c>
      <c r="H58" t="str" cm="1">
        <f t="array" ref="H58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58" t="b">
        <f>IF(
    RawData_Query[[#This Row],[CallWallStrike]]="",
    FALSE,
    ABS(RawData_Query[[#This Row],[CallWallStrike]] - RawData_Query[[#This Row],[Price]]) / RawData_Query[[#This Row],[Price]] &lt; 0.02
)</f>
        <v>0</v>
      </c>
      <c r="J58" t="b">
        <f>IF(
    RawData_Query[[#This Row],[PutWallStrike]]="",
    FALSE,
    ABS(RawData_Query[[#This Row],[PutWallStrike]] - RawData_Query[[#This Row],[Price]]) / RawData_Query[[#This Row],[Price]] &lt; 0.02
)</f>
        <v>0</v>
      </c>
      <c r="K58" t="str">
        <f>IF(RawData_Query[[#This Row],[FlipStrike]]="","",
   IF(RawData_Query[[#This Row],[FlipStrike]] &gt; RawData_Query[[#This Row],[Price]],"Below Flip","Above Flip")
)</f>
        <v>Below Flip</v>
      </c>
      <c r="L58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58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58" t="str">
        <f>IF(LogicEngineClean[[#This Row],[BullScore]]&gt;LogicEngineClean[[#This Row],[BearScore]],"Call",
   IF(LogicEngineClean[[#This Row],[BearScore]]&gt;LogicEngineClean[[#This Row],[BullScore]],"Put","Avoid")
)</f>
        <v>Avoid</v>
      </c>
      <c r="O58">
        <f>MAX(LogicEngineClean[[#This Row],[BullScore]],LogicEngineClean[[#This Row],[BearScore]])</f>
        <v>35</v>
      </c>
      <c r="P58" t="str">
        <f>"Bias: " &amp; LogicEngineClean[[#This Row],[TradeBias]] &amp;
" | Regime: " &amp; LogicEngineClean[[#This Row],[GammaRegime]] &amp;
" | Delta: " &amp; LogicEngineClean[[#This Row],[DeltaLean]]</f>
        <v>Bias: Avoid | Regime: Short Gamma | Delta: Dealers Short</v>
      </c>
      <c r="Q58">
        <f>IF(LogicEngineClean[[#This Row],[GammaRegime]]="Short Gamma",20,0)</f>
        <v>20</v>
      </c>
      <c r="R58">
        <f>IF(LogicEngineClean[[#This Row],[DeltaLean]]="Dealers Long",20,0)</f>
        <v>0</v>
      </c>
      <c r="S58">
        <f>IF(LogicEngineClean[[#This Row],[VannaBias]]="Upside Drift",20,
IF(LogicEngineClean[[#This Row],[VannaBias]]="Downside Drift",20,10))</f>
        <v>20</v>
      </c>
      <c r="T58">
        <f>IF(LogicEngineClean[[#This Row],[CharmBias]]="Sell Into Close",20,0)</f>
        <v>20</v>
      </c>
      <c r="U58">
        <f>IFERROR(IF(OR(LogicEngineClean[[#This Row],[CallWallFlag]]=TRUE,LogicEngineClean[[#This Row],[PutWallFlag]]=TRUE),10,0)
+
IF(LogicEngineClean[[#This Row],[FlipFlag]]="Below Flip",10,0),"")</f>
        <v>10</v>
      </c>
      <c r="V58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58" s="4" t="str" cm="1">
        <f t="array" ref="W58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Directional Breakout</v>
      </c>
    </row>
    <row r="59" spans="1:23" x14ac:dyDescent="0.25">
      <c r="A59" t="str">
        <f>RawData_Query[[#This Row],[Ticker]]</f>
        <v>RIVN</v>
      </c>
      <c r="B59">
        <f>RawData_Query[[#This Row],[Tier]]</f>
        <v>2</v>
      </c>
      <c r="C59">
        <v>5</v>
      </c>
      <c r="D59" t="str">
        <f>IF(RawData_Query[[#This Row],[NetGamma]]&gt;0,"Long Gamma","Short Gamma")</f>
        <v>Long Gamma</v>
      </c>
      <c r="E59" t="str">
        <f>IF(RawData_Query[[#This Row],[NetDelta]]&gt;0,"Dealers Long","Dealers Short")</f>
        <v>Dealers Long</v>
      </c>
      <c r="F59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59" t="str">
        <f>IF(RawData_Query[[#This Row],[NetCharm]]&lt;0,"Sell Into Close","Buy Into Close")</f>
        <v>Sell Into Close</v>
      </c>
      <c r="H59" t="str" cm="1">
        <f t="array" ref="H59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59" t="b">
        <f>IF(
    RawData_Query[[#This Row],[CallWallStrike]]="",
    FALSE,
    ABS(RawData_Query[[#This Row],[CallWallStrike]] - RawData_Query[[#This Row],[Price]]) / RawData_Query[[#This Row],[Price]] &lt; 0.02
)</f>
        <v>0</v>
      </c>
      <c r="J59" t="b">
        <f>IF(
    RawData_Query[[#This Row],[PutWallStrike]]="",
    FALSE,
    ABS(RawData_Query[[#This Row],[PutWallStrike]] - RawData_Query[[#This Row],[Price]]) / RawData_Query[[#This Row],[Price]] &lt; 0.02
)</f>
        <v>0</v>
      </c>
      <c r="K59" t="str">
        <f>IF(RawData_Query[[#This Row],[FlipStrike]]="","",
   IF(RawData_Query[[#This Row],[FlipStrike]] &gt; RawData_Query[[#This Row],[Price]],"Below Flip","Above Flip")
)</f>
        <v>Above Flip</v>
      </c>
      <c r="L59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30</v>
      </c>
      <c r="M59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30</v>
      </c>
      <c r="N59" t="str">
        <f>IF(LogicEngineClean[[#This Row],[BullScore]]&gt;LogicEngineClean[[#This Row],[BearScore]],"Call",
   IF(LogicEngineClean[[#This Row],[BearScore]]&gt;LogicEngineClean[[#This Row],[BullScore]],"Put","Avoid")
)</f>
        <v>Avoid</v>
      </c>
      <c r="O59">
        <f>MAX(LogicEngineClean[[#This Row],[BullScore]],LogicEngineClean[[#This Row],[BearScore]])</f>
        <v>30</v>
      </c>
      <c r="P59" t="str">
        <f>"Bias: " &amp; LogicEngineClean[[#This Row],[TradeBias]] &amp;
" | Regime: " &amp; LogicEngineClean[[#This Row],[GammaRegime]] &amp;
" | Delta: " &amp; LogicEngineClean[[#This Row],[DeltaLean]]</f>
        <v>Bias: Avoid | Regime: Long Gamma | Delta: Dealers Long</v>
      </c>
      <c r="Q59">
        <f>IF(LogicEngineClean[[#This Row],[GammaRegime]]="Short Gamma",20,0)</f>
        <v>0</v>
      </c>
      <c r="R59">
        <f>IF(LogicEngineClean[[#This Row],[DeltaLean]]="Dealers Long",20,0)</f>
        <v>20</v>
      </c>
      <c r="S59">
        <f>IF(LogicEngineClean[[#This Row],[VannaBias]]="Upside Drift",20,
IF(LogicEngineClean[[#This Row],[VannaBias]]="Downside Drift",20,10))</f>
        <v>20</v>
      </c>
      <c r="T59">
        <f>IF(LogicEngineClean[[#This Row],[CharmBias]]="Sell Into Close",20,0)</f>
        <v>20</v>
      </c>
      <c r="U59">
        <f>IFERROR(IF(OR(LogicEngineClean[[#This Row],[CallWallFlag]]=TRUE,LogicEngineClean[[#This Row],[PutWallFlag]]=TRUE),10,0)
+
IF(LogicEngineClean[[#This Row],[FlipFlag]]="Below Flip",10,0),"")</f>
        <v>0</v>
      </c>
      <c r="V59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59" s="4" t="str" cm="1">
        <f t="array" ref="W59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Mean Reversion Short</v>
      </c>
    </row>
    <row r="60" spans="1:23" x14ac:dyDescent="0.25">
      <c r="A60" t="str">
        <f>RawData_Query[[#This Row],[Ticker]]</f>
        <v>XLF</v>
      </c>
      <c r="B60">
        <f>RawData_Query[[#This Row],[Tier]]</f>
        <v>1</v>
      </c>
      <c r="C60">
        <v>10</v>
      </c>
      <c r="D60" t="str">
        <f>IF(RawData_Query[[#This Row],[NetGamma]]&gt;0,"Long Gamma","Short Gamma")</f>
        <v>Short Gamma</v>
      </c>
      <c r="E60" t="str">
        <f>IF(RawData_Query[[#This Row],[NetDelta]]&gt;0,"Dealers Long","Dealers Short")</f>
        <v>Dealers Short</v>
      </c>
      <c r="F60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Upside Drift</v>
      </c>
      <c r="G60" t="str">
        <f>IF(RawData_Query[[#This Row],[NetCharm]]&lt;0,"Sell Into Close","Buy Into Close")</f>
        <v>Sell Into Close</v>
      </c>
      <c r="H60" t="str" cm="1">
        <f t="array" ref="H60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Moderate Upside</v>
      </c>
      <c r="I60" t="b">
        <f>IF(
    RawData_Query[[#This Row],[CallWallStrike]]="",
    FALSE,
    ABS(RawData_Query[[#This Row],[CallWallStrike]] - RawData_Query[[#This Row],[Price]]) / RawData_Query[[#This Row],[Price]] &lt; 0.02
)</f>
        <v>0</v>
      </c>
      <c r="J60" t="b">
        <f>IF(
    RawData_Query[[#This Row],[PutWallStrike]]="",
    FALSE,
    ABS(RawData_Query[[#This Row],[PutWallStrike]] - RawData_Query[[#This Row],[Price]]) / RawData_Query[[#This Row],[Price]] &lt; 0.02
)</f>
        <v>0</v>
      </c>
      <c r="K60" t="str">
        <f>IF(RawData_Query[[#This Row],[FlipStrike]]="","",
   IF(RawData_Query[[#This Row],[FlipStrike]] &gt; RawData_Query[[#This Row],[Price]],"Below Flip","Above Flip")
)</f>
        <v>Above Flip</v>
      </c>
      <c r="L60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35</v>
      </c>
      <c r="M60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35</v>
      </c>
      <c r="N60" t="str">
        <f>IF(LogicEngineClean[[#This Row],[BullScore]]&gt;LogicEngineClean[[#This Row],[BearScore]],"Call",
   IF(LogicEngineClean[[#This Row],[BearScore]]&gt;LogicEngineClean[[#This Row],[BullScore]],"Put","Avoid")
)</f>
        <v>Avoid</v>
      </c>
      <c r="O60">
        <f>MAX(LogicEngineClean[[#This Row],[BullScore]],LogicEngineClean[[#This Row],[BearScore]])</f>
        <v>35</v>
      </c>
      <c r="P60" t="str">
        <f>"Bias: " &amp; LogicEngineClean[[#This Row],[TradeBias]] &amp;
" | Regime: " &amp; LogicEngineClean[[#This Row],[GammaRegime]] &amp;
" | Delta: " &amp; LogicEngineClean[[#This Row],[DeltaLean]]</f>
        <v>Bias: Avoid | Regime: Short Gamma | Delta: Dealers Short</v>
      </c>
      <c r="Q60">
        <f>IF(LogicEngineClean[[#This Row],[GammaRegime]]="Short Gamma",20,0)</f>
        <v>20</v>
      </c>
      <c r="R60">
        <f>IF(LogicEngineClean[[#This Row],[DeltaLean]]="Dealers Long",20,0)</f>
        <v>0</v>
      </c>
      <c r="S60">
        <f>IF(LogicEngineClean[[#This Row],[VannaBias]]="Upside Drift",20,
IF(LogicEngineClean[[#This Row],[VannaBias]]="Downside Drift",20,10))</f>
        <v>20</v>
      </c>
      <c r="T60">
        <f>IF(LogicEngineClean[[#This Row],[CharmBias]]="Sell Into Close",20,0)</f>
        <v>20</v>
      </c>
      <c r="U60">
        <f>IFERROR(IF(OR(LogicEngineClean[[#This Row],[CallWallFlag]]=TRUE,LogicEngineClean[[#This Row],[PutWallFlag]]=TRUE),10,0)
+
IF(LogicEngineClean[[#This Row],[FlipFlag]]="Below Flip",10,0),"")</f>
        <v>0</v>
      </c>
      <c r="V60">
        <f>IFERROR(LogicEngineClean[[#This Row],[GammaScore]] + LogicEngineClean[[#This Row],[DeltaScore]] + LogicEngineClean[[#This Row],[VannaScore]] + LogicEngineClean[[#This Row],[CharmScore]] + LogicEngineClean[[#This Row],[WallFlipScore]],"")</f>
        <v>60</v>
      </c>
      <c r="W60" s="4" t="str" cm="1">
        <f t="array" ref="W60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  <row r="61" spans="1:23" x14ac:dyDescent="0.25">
      <c r="A61" t="str">
        <f>RawData_Query[[#This Row],[Ticker]]</f>
        <v>XLK</v>
      </c>
      <c r="B61">
        <f>RawData_Query[[#This Row],[Tier]]</f>
        <v>1</v>
      </c>
      <c r="C61">
        <v>10</v>
      </c>
      <c r="D61" t="str">
        <f>IF(RawData_Query[[#This Row],[NetGamma]]&gt;0,"Long Gamma","Short Gamma")</f>
        <v>Short Gamma</v>
      </c>
      <c r="E61" t="str">
        <f>IF(RawData_Query[[#This Row],[NetDelta]]&gt;0,"Dealers Long","Dealers Short")</f>
        <v>Dealers Long</v>
      </c>
      <c r="F61" t="str">
        <f>IF(
    OR(RawData_Query[[#This Row],[NetVanna]]="", RawData_Query[[#This Row],[IvRank]]=""),
    "",
    IF(
        RawData_Query[[#This Row],[NetVanna]] &gt; 0,
        IF(RawData_Query[[#This Row],[IvRank]] &gt; 50, "Downside Pressure", "Upside Drift"),
        IF(RawData_Query[[#This Row],[IvRank]] &gt; 50, "Upside Pressure", "Downside Drift")
    )
)</f>
        <v>Downside Pressure</v>
      </c>
      <c r="G61" t="str">
        <f>IF(RawData_Query[[#This Row],[NetCharm]]&lt;0,"Sell Into Close","Buy Into Close")</f>
        <v>Sell Into Close</v>
      </c>
      <c r="H61" t="str" cm="1">
        <f t="array" ref="H61">_xlfn.IFS(
    AND(LogicEngineClean[[#This Row],[VannaBias]]="Upside Drift",LogicEngineClean[[#This Row],[CharmBias]]="Buy Into Close"),"Strong Upside",
    AND(LogicEngineClean[[#This Row],[VannaBias]]="Upside Drift",LogicEngineClean[[#This Row],[CharmBias]]="Sell Into Close"),"Moderate Upside",
    AND(LogicEngineClean[[#This Row],[VannaBias]]="Downside Drift",LogicEngineClean[[#This Row],[CharmBias]]="Sell Into Close"),"Strong Downside",
    AND(LogicEngineClean[[#This Row],[VannaBias]]="Downside Drift",LogicEngineClean[[#This Row],[CharmBias]]="Buy Into Close"),"Moderate Downside",
    AND(LogicEngineClean[[#This Row],[VannaBias]]="Upside Pressure",LogicEngineClean[[#This Row],[CharmBias]]="Buy Into Close"),"Mixed Upside",
    AND(LogicEngineClean[[#This Row],[VannaBias]]="Upside Pressure",LogicEngineClean[[#This Row],[CharmBias]]="Sell Into Close"),"Mixed Downside",
    TRUE,"Neutral"
)</f>
        <v>Neutral</v>
      </c>
      <c r="I61" t="b">
        <f>IF(
    RawData_Query[[#This Row],[CallWallStrike]]="",
    FALSE,
    ABS(RawData_Query[[#This Row],[CallWallStrike]] - RawData_Query[[#This Row],[Price]]) / RawData_Query[[#This Row],[Price]] &lt; 0.02
)</f>
        <v>0</v>
      </c>
      <c r="J61" t="b">
        <f>IF(
    RawData_Query[[#This Row],[PutWallStrike]]="",
    FALSE,
    ABS(RawData_Query[[#This Row],[PutWallStrike]] - RawData_Query[[#This Row],[Price]]) / RawData_Query[[#This Row],[Price]] &lt; 0.02
)</f>
        <v>0</v>
      </c>
      <c r="K61" t="str">
        <f>IF(RawData_Query[[#This Row],[FlipStrike]]="","",
   IF(RawData_Query[[#This Row],[FlipStrike]] &gt; RawData_Query[[#This Row],[Price]],"Below Flip","Above Flip")
)</f>
        <v>Above Flip</v>
      </c>
      <c r="L61">
        <f>IF(RawData_Query[[#This Row],[Price]]="","",
   (IF(LogicEngineClean[[#This Row],[GammaRegime]]="Long Gamma",10,0)) +
   (IF(RawData_Query[[#This Row],[NetDelta]]&lt;0,10,0)) +
   (IF(LogicEngineClean[[#This Row],[CharmBias]]="Buy Into Close",10,0)) +
   (IF(LogicEngineClean[[#This Row],[VannaBias]]="Upside Drift",10,0)) +
   (IF(LogicEngineClean[[#This Row],[CallWallFlag]]=TRUE,5,0)) +
   (IF(LogicEngineClean[[#This Row],[PutWallFlag]]=FALSE,5,0)) +
   LogicEngineClean[[#This Row],[TierWeight]]
)</f>
        <v>15</v>
      </c>
      <c r="M61">
        <f>IF(RawData_Query[[#This Row],[Price]]="","",
   (IF(LogicEngineClean[[#This Row],[GammaRegime]]="Short Gamma",10,0)) +
   (IF(RawData_Query[[#This Row],[NetDelta]]&gt;0,10,0)) +
   (IF(LogicEngineClean[[#This Row],[CharmBias]]="Sell Into Close",10,0)) +
   (IF(LogicEngineClean[[#This Row],[VannaBias]]="Downside Drift",10,0)) +
   (IF(LogicEngineClean[[#This Row],[PutWallFlag]]=TRUE,5,0)) +
   (IF(LogicEngineClean[[#This Row],[CallWallFlag]]=FALSE,5,0)) +
   LogicEngineClean[[#This Row],[TierWeight]]
)</f>
        <v>45</v>
      </c>
      <c r="N61" t="str">
        <f>IF(LogicEngineClean[[#This Row],[BullScore]]&gt;LogicEngineClean[[#This Row],[BearScore]],"Call",
   IF(LogicEngineClean[[#This Row],[BearScore]]&gt;LogicEngineClean[[#This Row],[BullScore]],"Put","Avoid")
)</f>
        <v>Put</v>
      </c>
      <c r="O61">
        <f>MAX(LogicEngineClean[[#This Row],[BullScore]],LogicEngineClean[[#This Row],[BearScore]])</f>
        <v>45</v>
      </c>
      <c r="P61" t="str">
        <f>"Bias: " &amp; LogicEngineClean[[#This Row],[TradeBias]] &amp;
" | Regime: " &amp; LogicEngineClean[[#This Row],[GammaRegime]] &amp;
" | Delta: " &amp; LogicEngineClean[[#This Row],[DeltaLean]]</f>
        <v>Bias: Put | Regime: Short Gamma | Delta: Dealers Long</v>
      </c>
      <c r="Q61">
        <f>IF(LogicEngineClean[[#This Row],[GammaRegime]]="Short Gamma",20,0)</f>
        <v>20</v>
      </c>
      <c r="R61">
        <f>IF(LogicEngineClean[[#This Row],[DeltaLean]]="Dealers Long",20,0)</f>
        <v>20</v>
      </c>
      <c r="S61">
        <f>IF(LogicEngineClean[[#This Row],[VannaBias]]="Upside Drift",20,
IF(LogicEngineClean[[#This Row],[VannaBias]]="Downside Drift",20,10))</f>
        <v>10</v>
      </c>
      <c r="T61">
        <f>IF(LogicEngineClean[[#This Row],[CharmBias]]="Sell Into Close",20,0)</f>
        <v>20</v>
      </c>
      <c r="U61">
        <f>IFERROR(IF(OR(LogicEngineClean[[#This Row],[CallWallFlag]]=TRUE,LogicEngineClean[[#This Row],[PutWallFlag]]=TRUE),10,0)
+
IF(LogicEngineClean[[#This Row],[FlipFlag]]="Below Flip",10,0),"")</f>
        <v>0</v>
      </c>
      <c r="V61">
        <f>IFERROR(LogicEngineClean[[#This Row],[GammaScore]] + LogicEngineClean[[#This Row],[DeltaScore]] + LogicEngineClean[[#This Row],[VannaScore]] + LogicEngineClean[[#This Row],[CharmScore]] + LogicEngineClean[[#This Row],[WallFlipScore]],"")</f>
        <v>70</v>
      </c>
      <c r="W61" s="4" t="str" cm="1">
        <f t="array" ref="W61">IFERROR(_xlfn.IFS(
    AND(LogicEngineClean[[#This Row],[GammaRegime]]="Short Gamma",LogicEngineClean[[#This Row],[DeltaLean]]="Dealers Long",LogicEngineClean[[#This Row],[VannaBias]]="Upside Drift",LogicEngineClean[[#This Row],[CharmBias]]="Sell Into Close"),"Squeeze Up",
    AND(LogicEngineClean[[#This Row],[GammaRegime]]="Short Gamma",LogicEngineClean[[#This Row],[DeltaLean]]="Dealers Short",LogicEngineClean[[#This Row],[VannaBias]]="Downside Drift",LogicEngineClean[[#This Row],[CharmBias]]="Sell Into Close"),"Flush Down",
    AND(LogicEngineClean[[#This Row],[GammaRegime]]="Long Gamma",OR(LogicEngineClean[[#This Row],[CallWallFlag]]=TRUE,LogicEngineClean[[#This Row],[PutWallFlag]]=TRUE)),"Range Reversion",
    AND(LogicEngineClean[[#This Row],[GammaRegime]]="Short Gamma",LogicEngineClean[[#This Row],[FlipFlag]]="Below Flip"),"Directional Breakout",
    AND(LogicEngineClean[[#This Row],[GammaRegime]]="Long Gamma",LogicEngineClean[[#This Row],[FlipFlag]]="Above Flip"),"Mean Reversion Short",
    AND(LogicEngineClean[[#This Row],[VannaCharmComposite]]="Strong Upside"),"Drift Up",
    AND(LogicEngineClean[[#This Row],[VannaCharmComposite]]="Strong Downside"),"Drift Down",
    TRUE,"Chop / No Trade"
),"Chop / No Trade")</f>
        <v>Chop / No Trade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D67B-DF4D-4788-B093-BBA06539C51D}">
  <dimension ref="A1:R12"/>
  <sheetViews>
    <sheetView tabSelected="1" workbookViewId="0">
      <selection activeCell="J25" sqref="J25"/>
    </sheetView>
  </sheetViews>
  <sheetFormatPr defaultRowHeight="15" x14ac:dyDescent="0.25"/>
  <cols>
    <col min="3" max="3" width="15.5703125" bestFit="1" customWidth="1"/>
    <col min="13" max="13" width="10" bestFit="1" customWidth="1"/>
    <col min="17" max="17" width="15.5703125" bestFit="1" customWidth="1"/>
  </cols>
  <sheetData>
    <row r="1" spans="1:18" x14ac:dyDescent="0.25">
      <c r="A1" s="6" t="s">
        <v>107</v>
      </c>
      <c r="B1" s="6"/>
      <c r="C1" s="6"/>
      <c r="E1" s="6" t="s">
        <v>108</v>
      </c>
      <c r="F1" s="6"/>
      <c r="L1" s="6" t="s">
        <v>109</v>
      </c>
      <c r="M1" s="6"/>
      <c r="P1" s="6" t="s">
        <v>110</v>
      </c>
      <c r="Q1" s="6"/>
      <c r="R1" s="6"/>
    </row>
    <row r="2" spans="1:18" x14ac:dyDescent="0.25">
      <c r="A2" t="s">
        <v>60</v>
      </c>
      <c r="B2" t="s">
        <v>103</v>
      </c>
      <c r="C2" t="s">
        <v>105</v>
      </c>
      <c r="E2" t="s">
        <v>60</v>
      </c>
      <c r="F2" t="s">
        <v>106</v>
      </c>
      <c r="L2" t="s">
        <v>60</v>
      </c>
      <c r="M2" t="s">
        <v>69</v>
      </c>
      <c r="P2" t="s">
        <v>60</v>
      </c>
      <c r="Q2" t="s">
        <v>105</v>
      </c>
      <c r="R2" t="s">
        <v>103</v>
      </c>
    </row>
    <row r="3" spans="1:18" x14ac:dyDescent="0.25">
      <c r="A3" t="str" cm="1">
        <f t="array" ref="A3:C12">_xlfn.LET(
    _xlpm.tick, LogicEngineClean[Ticker],
    _xlpm.dpi, LogicEngineClean[DPI],
    _xlpm.setup, LogicEngineClean[Setup],
    _xlpm.data, CHOOSE({1,2,3}, _xlpm.tick, _xlpm.dpi, _xlpm.setup),
    _xlpm.filtered, _xlfn._xlws.FILTER(_xlpm.data, (_xlpm.dpi&gt;=60) * (_xlpm.dpi&lt;&gt;"")),
    _xlpm.sorted, _xlfn._xlws.SORT(_xlpm.filtered, 2, -1),
    _xlfn.TAKE(_xlpm.sorted, 10)
)</f>
        <v>LLY</v>
      </c>
      <c r="B3">
        <v>90</v>
      </c>
      <c r="C3" t="str">
        <v>Squeeze Up</v>
      </c>
      <c r="E3" t="e" cm="1" vm="1">
        <f t="array" ref="E3">_xlfn.LET(
    _xlpm.tick, LogicEngineClean[Ticker],
    _xlpm.comp, LogicEngineClean[VannaCharmComposite],
    _xlpm.mask, (_xlpm.comp="Strong Upside") + (_xlpm.comp="Strong Downside"),
    _xlpm.data, CHOOSE({1,2}, _xlpm.tick, _xlpm.comp),
    _xlpm.filtered, _xlfn._xlws.FILTER(_xlpm.data, _xlpm.mask&gt;0),
    _xlpm.sorted, _xlfn._xlws.SORT(_xlpm.filtered, 1, 1),
    _xlfn.TAKE(_xlpm.sorted, 10)
)</f>
        <v>#VALUE!</v>
      </c>
      <c r="I3" t="e" cm="1">
        <f t="array" ref="I3">_xlfn.LET(
    _xlpm.tick, LogicEngineClean[Ticker],
    _xlpm.callF, LogicEngineClean[CallWallFlag],
    _xlpm.putF, LogicEngineClean[PutWallFlag],
    _xlpm.mask, (_xlpm.callF=TRUE) + (_xlpm.putF=TRUE),
    _xlpm.data, CHOOSE({1,2,3}, _xlpm.tick, _xlpm.callF, _xlpm.putF),
    _xlpm.filtered, _xlfn._xlws.FILTER(_xlpm.data, _xlpm.mask&gt;0),
    _xlfn.TAKE(_xlpm.filtered, 10)
)</f>
        <v>#DIV/0!</v>
      </c>
      <c r="L3" t="str" cm="1">
        <f t="array" ref="L3:M12">_xlfn.LET(
    _xlpm.tick, LogicEngineClean[Ticker],
    _xlpm.flip, LogicEngineClean[FlipFlag],
    _xlpm.data, CHOOSE({1,2}, _xlpm.tick, _xlpm.flip),
    _xlpm.filtered, _xlfn._xlws.FILTER(_xlpm.data, _xlpm.flip="Below Flip"),
    _xlfn.TAKE(_xlpm.filtered, 10)
)</f>
        <v>IWM</v>
      </c>
      <c r="M3" t="str">
        <v>Below Flip</v>
      </c>
      <c r="P3" t="str" cm="1">
        <f t="array" ref="P3:R12">_xlfn.LET(
    _xlpm.tick, LogicEngineClean[Ticker],
    _xlpm.setup, LogicEngineClean[Setup],
    _xlpm.dpi, LogicEngineClean[DPI],
    _xlpm.data, CHOOSE({1,2,3}, _xlpm.tick, _xlpm.setup, _xlpm.dpi),
    _xlpm.filtered, _xlfn._xlws.FILTER(_xlpm.data, _xlpm.setup&lt;&gt;"Chop / No Trade"),
    _xlpm.sorted, _xlfn._xlws.SORT(_xlpm.filtered, 3, -1),
    _xlfn.TAKE(_xlpm.sorted, 10)
)</f>
        <v>LLY</v>
      </c>
      <c r="Q3" t="str">
        <v>Squeeze Up</v>
      </c>
      <c r="R3">
        <v>90</v>
      </c>
    </row>
    <row r="4" spans="1:18" x14ac:dyDescent="0.25">
      <c r="A4" t="str">
        <v>GS</v>
      </c>
      <c r="B4">
        <v>90</v>
      </c>
      <c r="C4" t="str">
        <v>Squeeze Up</v>
      </c>
      <c r="L4" t="str">
        <v>NVDA</v>
      </c>
      <c r="M4" t="str">
        <v>Below Flip</v>
      </c>
      <c r="P4" t="str">
        <v>GS</v>
      </c>
      <c r="Q4" t="str">
        <v>Squeeze Up</v>
      </c>
      <c r="R4">
        <v>90</v>
      </c>
    </row>
    <row r="5" spans="1:18" x14ac:dyDescent="0.25">
      <c r="A5" t="str">
        <v>SPY</v>
      </c>
      <c r="B5">
        <v>80</v>
      </c>
      <c r="C5" t="str">
        <v>Squeeze Up</v>
      </c>
      <c r="L5" t="str">
        <v>CRWD</v>
      </c>
      <c r="M5" t="str">
        <v>Below Flip</v>
      </c>
      <c r="P5" t="str">
        <v>SPY</v>
      </c>
      <c r="Q5" t="str">
        <v>Squeeze Up</v>
      </c>
      <c r="R5">
        <v>80</v>
      </c>
    </row>
    <row r="6" spans="1:18" x14ac:dyDescent="0.25">
      <c r="A6" t="str">
        <v>QQQ</v>
      </c>
      <c r="B6">
        <v>80</v>
      </c>
      <c r="C6" t="str">
        <v>Squeeze Up</v>
      </c>
      <c r="L6" t="str">
        <v>AMD</v>
      </c>
      <c r="M6" t="str">
        <v>Below Flip</v>
      </c>
      <c r="P6" t="str">
        <v>QQQ</v>
      </c>
      <c r="Q6" t="str">
        <v>Squeeze Up</v>
      </c>
      <c r="R6">
        <v>80</v>
      </c>
    </row>
    <row r="7" spans="1:18" x14ac:dyDescent="0.25">
      <c r="A7" t="str">
        <v>META</v>
      </c>
      <c r="B7">
        <v>80</v>
      </c>
      <c r="C7" t="str">
        <v>Squeeze Up</v>
      </c>
      <c r="L7" t="str">
        <v>COIN</v>
      </c>
      <c r="M7" t="str">
        <v>Below Flip</v>
      </c>
      <c r="P7" t="str">
        <v>META</v>
      </c>
      <c r="Q7" t="str">
        <v>Squeeze Up</v>
      </c>
      <c r="R7">
        <v>80</v>
      </c>
    </row>
    <row r="8" spans="1:18" x14ac:dyDescent="0.25">
      <c r="A8" t="str">
        <v>PLTR</v>
      </c>
      <c r="B8">
        <v>80</v>
      </c>
      <c r="C8" t="str">
        <v>Squeeze Up</v>
      </c>
      <c r="L8" t="str">
        <v>JNJ</v>
      </c>
      <c r="M8" t="str">
        <v>Below Flip</v>
      </c>
      <c r="P8" t="str">
        <v>PLTR</v>
      </c>
      <c r="Q8" t="str">
        <v>Squeeze Up</v>
      </c>
      <c r="R8">
        <v>80</v>
      </c>
    </row>
    <row r="9" spans="1:18" x14ac:dyDescent="0.25">
      <c r="A9" t="str">
        <v>CCJ</v>
      </c>
      <c r="B9">
        <v>80</v>
      </c>
      <c r="C9" t="str">
        <v>Squeeze Up</v>
      </c>
      <c r="H9" s="5"/>
      <c r="L9" t="str">
        <v>MS</v>
      </c>
      <c r="M9" t="str">
        <v>Below Flip</v>
      </c>
      <c r="P9" t="str">
        <v>CCJ</v>
      </c>
      <c r="Q9" t="str">
        <v>Squeeze Up</v>
      </c>
      <c r="R9">
        <v>80</v>
      </c>
    </row>
    <row r="10" spans="1:18" x14ac:dyDescent="0.25">
      <c r="A10" t="str">
        <v>UNH</v>
      </c>
      <c r="B10">
        <v>80</v>
      </c>
      <c r="C10" t="str">
        <v>Squeeze Up</v>
      </c>
      <c r="L10" t="str">
        <v>BAC</v>
      </c>
      <c r="M10" t="str">
        <v>Below Flip</v>
      </c>
      <c r="P10" t="str">
        <v>UNH</v>
      </c>
      <c r="Q10" t="str">
        <v>Squeeze Up</v>
      </c>
      <c r="R10">
        <v>80</v>
      </c>
    </row>
    <row r="11" spans="1:18" x14ac:dyDescent="0.25">
      <c r="A11" t="str">
        <v>COST</v>
      </c>
      <c r="B11">
        <v>80</v>
      </c>
      <c r="C11" t="str">
        <v>Chop / No Trade</v>
      </c>
      <c r="L11" t="str">
        <v>SCHW</v>
      </c>
      <c r="M11" t="str">
        <v>Below Flip</v>
      </c>
      <c r="P11" t="str">
        <v>WMT</v>
      </c>
      <c r="Q11" t="str">
        <v>Squeeze Up</v>
      </c>
      <c r="R11">
        <v>80</v>
      </c>
    </row>
    <row r="12" spans="1:18" x14ac:dyDescent="0.25">
      <c r="A12" t="str">
        <v>WMT</v>
      </c>
      <c r="B12">
        <v>80</v>
      </c>
      <c r="C12" t="str">
        <v>Squeeze Up</v>
      </c>
      <c r="L12" t="str">
        <v>WFC</v>
      </c>
      <c r="M12" t="str">
        <v>Below Flip</v>
      </c>
      <c r="P12" t="str">
        <v>MS</v>
      </c>
      <c r="Q12" t="str">
        <v>Range Reversion</v>
      </c>
      <c r="R12">
        <v>80</v>
      </c>
    </row>
  </sheetData>
  <mergeCells count="4">
    <mergeCell ref="A1:C1"/>
    <mergeCell ref="E1:F1"/>
    <mergeCell ref="L1:M1"/>
    <mergeCell ref="P1:R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41D86F-7807-4BA7-8DEF-C10F82BD51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Universe</vt:lpstr>
      <vt:lpstr>RawData</vt:lpstr>
      <vt:lpstr>LogicEngine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Pointek</dc:creator>
  <cp:lastModifiedBy>Michael Pointek</cp:lastModifiedBy>
  <dcterms:created xsi:type="dcterms:W3CDTF">2026-05-27T03:29:35Z</dcterms:created>
  <dcterms:modified xsi:type="dcterms:W3CDTF">2026-05-27T16:49:05Z</dcterms:modified>
</cp:coreProperties>
</file>