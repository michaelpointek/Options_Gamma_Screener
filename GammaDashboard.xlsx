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a011701ea9f27640/Documents/GitHub/Options_Gamma_Screener/"/>
    </mc:Choice>
  </mc:AlternateContent>
  <xr:revisionPtr revIDLastSave="0" documentId="8_{9EB4AE56-320E-4E98-AE3D-33B94FCCB994}" xr6:coauthVersionLast="47" xr6:coauthVersionMax="47" xr10:uidLastSave="{00000000-0000-0000-0000-000000000000}"/>
  <bookViews>
    <workbookView xWindow="-28920" yWindow="-120" windowWidth="29040" windowHeight="15720" xr2:uid="{F32BFD2D-F4C7-4991-BB67-199267CF7C3E}"/>
  </bookViews>
  <sheets>
    <sheet name="RawData" sheetId="1" r:id="rId1"/>
    <sheet name="LogicEngine" sheetId="2" r:id="rId2"/>
    <sheet name="Dashboar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2" l="1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J2" i="2"/>
  <c r="I2" i="2"/>
  <c r="H2" i="2"/>
  <c r="G2" i="2"/>
  <c r="F2" i="2"/>
  <c r="E2" i="2"/>
  <c r="D2" i="2"/>
  <c r="C2" i="2"/>
  <c r="B2" i="2"/>
  <c r="P2" i="1"/>
  <c r="M2" i="1"/>
  <c r="L2" i="1"/>
  <c r="K2" i="1"/>
  <c r="L2" i="2" l="1"/>
  <c r="K2" i="2"/>
</calcChain>
</file>

<file path=xl/sharedStrings.xml><?xml version="1.0" encoding="utf-8"?>
<sst xmlns="http://schemas.openxmlformats.org/spreadsheetml/2006/main" count="29" uniqueCount="27">
  <si>
    <t>Ticker</t>
  </si>
  <si>
    <t>Price</t>
  </si>
  <si>
    <t>NetGamma</t>
  </si>
  <si>
    <t>GammaRegime</t>
  </si>
  <si>
    <t>DealerDelta</t>
  </si>
  <si>
    <t>Vanna</t>
  </si>
  <si>
    <t>Charm</t>
  </si>
  <si>
    <t>CallWall</t>
  </si>
  <si>
    <t>PutWall</t>
  </si>
  <si>
    <t>GammaFlip</t>
  </si>
  <si>
    <t>DistToCallWall</t>
  </si>
  <si>
    <t>DistToPutWall</t>
  </si>
  <si>
    <t>DistToFlip</t>
  </si>
  <si>
    <t>IVToday</t>
  </si>
  <si>
    <t>IVYesterday</t>
  </si>
  <si>
    <t>IVChange</t>
  </si>
  <si>
    <t>DeltaLean</t>
  </si>
  <si>
    <t>VannaBias</t>
  </si>
  <si>
    <t>CharmBias</t>
  </si>
  <si>
    <t>CallWallFlag</t>
  </si>
  <si>
    <t>PutWallFlag</t>
  </si>
  <si>
    <t>FlipFlag</t>
  </si>
  <si>
    <t>BullScore</t>
  </si>
  <si>
    <t>BearScore</t>
  </si>
  <si>
    <t>TradeBias</t>
  </si>
  <si>
    <t>Conviction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</si>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</sst>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A9ACC8-915B-490D-903C-980696C7DF91}" name="Table1" displayName="Table1" ref="A1:M154" totalsRowShown="0" headerRowDxfId="2">
  <autoFilter ref="A1:M154" xr:uid="{5DA9ACC8-915B-490D-903C-980696C7DF91}"/>
  <tableColumns count="13">
    <tableColumn id="1" xr3:uid="{76A08403-0148-4D76-A959-6457C3C5C4BF}" name="Ticker"/>
    <tableColumn id="2" xr3:uid="{36107084-BCDD-46C7-A65A-85C1A714D8F7}" name="GammaRegime"/>
    <tableColumn id="3" xr3:uid="{BDE212F3-4899-4A50-AB9C-1ED70B55EACD}" name="DeltaLean"/>
    <tableColumn id="4" xr3:uid="{367FCE6D-8200-4FF7-8BC4-673A2F58C399}" name="VannaBias"/>
    <tableColumn id="5" xr3:uid="{FAC19021-A680-4EE6-9814-04E131A5DCC3}" name="CharmBias"/>
    <tableColumn id="6" xr3:uid="{577E7F61-D1B0-4805-BE56-277FB7A07EF2}" name="CallWallFlag"/>
    <tableColumn id="7" xr3:uid="{40A8463B-1861-49B2-9796-BDAB19F302C2}" name="PutWallFlag"/>
    <tableColumn id="8" xr3:uid="{C718EEAE-72DF-4E45-B244-979D7E0900AC}" name="FlipFlag"/>
    <tableColumn id="9" xr3:uid="{F25A7005-BACE-4A2A-9C46-3BC74B5FB3A5}" name="BullScore"/>
    <tableColumn id="10" xr3:uid="{91395F8F-A708-486D-AA38-A49D320644D5}" name="BearScore"/>
    <tableColumn id="11" xr3:uid="{279EB22F-1E06-45E1-8F99-835B98B33C4E}" name="TradeBias" dataDxfId="1">
      <calculatedColumnFormula>IF(Table1[[#This Row],[BullScore]]&gt;Table1[[#This Row],[BearScore]],"Call",
   IF(Table1[[#This Row],[BearScore]]&gt;Table1[[#This Row],[BullScore]],"Put","Avoid")
)</calculatedColumnFormula>
    </tableColumn>
    <tableColumn id="12" xr3:uid="{0291869A-4D0B-40D8-AD16-7BE9E3DE6CA0}" name="Conviction" dataDxfId="0">
      <calculatedColumnFormula>MAX(Table1[[#This Row],[BullScore]],Table1[[#This Row],[BearScore]])</calculatedColumnFormula>
    </tableColumn>
    <tableColumn id="13" xr3:uid="{C745E22E-EC27-4E2B-9D2E-2FB599C1EBD8}" name="Notes">
      <calculatedColumnFormula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1B583-1462-461B-960A-5EF1A6EC7CB3}">
  <dimension ref="A1:P2"/>
  <sheetViews>
    <sheetView tabSelected="1" workbookViewId="0">
      <selection activeCell="K21" sqref="K21"/>
    </sheetView>
  </sheetViews>
  <sheetFormatPr defaultRowHeight="15" x14ac:dyDescent="0.25"/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5">
      <c r="K2" t="str">
        <f>IF(OR(B2="",H2=""),"", (H2-B2)/B2)</f>
        <v/>
      </c>
      <c r="L2" t="str">
        <f>IF(OR(B2="",I2=""),"", (B2-I2)/B2)</f>
        <v/>
      </c>
      <c r="M2" t="str">
        <f>IF(OR(B2="",J2=""),"", (B2-J2)/B2)</f>
        <v/>
      </c>
      <c r="P2" t="str">
        <f>IF(N2="","",
   IF(N2-O2&gt;0.0025,"Up",
      IF(O2-N2&gt;0.0025,"Down","Flat")
   )
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9BAB-B4E1-4D60-BF6F-4357FC3E1924}">
  <dimension ref="A1:M154"/>
  <sheetViews>
    <sheetView workbookViewId="0">
      <selection activeCell="B2" sqref="B2"/>
    </sheetView>
  </sheetViews>
  <sheetFormatPr defaultRowHeight="15" x14ac:dyDescent="0.25"/>
  <cols>
    <col min="2" max="2" width="16.28515625" customWidth="1"/>
    <col min="3" max="4" width="11.7109375" customWidth="1"/>
    <col min="5" max="5" width="12.28515625" customWidth="1"/>
    <col min="6" max="6" width="13.7109375" customWidth="1"/>
    <col min="7" max="7" width="13.28515625" customWidth="1"/>
    <col min="8" max="8" width="9.5703125" customWidth="1"/>
    <col min="9" max="9" width="11.28515625" customWidth="1"/>
    <col min="10" max="10" width="11.7109375" customWidth="1"/>
    <col min="11" max="11" width="11.42578125" customWidth="1"/>
    <col min="13" max="13" width="39.140625" bestFit="1" customWidth="1"/>
    <col min="14" max="14" width="11.42578125" customWidth="1"/>
    <col min="15" max="15" width="6" bestFit="1" customWidth="1"/>
  </cols>
  <sheetData>
    <row r="1" spans="1:13" x14ac:dyDescent="0.25">
      <c r="A1" t="s">
        <v>0</v>
      </c>
      <c r="B1" t="s">
        <v>3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</row>
    <row r="2" spans="1:13" x14ac:dyDescent="0.25">
      <c r="B2" t="str">
        <f>IF(RawData!C2="","",
   IF(RawData!C2&gt;0,"Long Gamma","Short Gamma")
)</f>
        <v/>
      </c>
      <c r="C2" t="str">
        <f>IF(RawData!E2="","",
   IF(RawData!E2&gt;0,"Dealers Long (Sell Rips)","Dealers Short (Buy Rips)")
)</f>
        <v/>
      </c>
      <c r="D2" t="str">
        <f>IF(OR(RawData!F2="",RawData!P2=""),"",
   IF(RawData!F2&gt;0,
      IF(RawData!P2="Up","Downside Pressure","Upside Drift"),
      IF(RawData!P2="Up","Upside Pressure","Downside Drift")
   )
)</f>
        <v/>
      </c>
      <c r="E2" t="str">
        <f>IF(RawData!G2="","",
   IF(RawData!G2&lt;0,"Sell Into Close","Buy Into Close")
)</f>
        <v/>
      </c>
      <c r="F2" t="str">
        <f>IF(RawData!K2="","",
   IF(RawData!K2&lt;0.02,"Near Call Wall","")
)</f>
        <v/>
      </c>
      <c r="G2" t="str">
        <f>IF(RawData!L2="","",
   IF(RawData!L2&lt;0.02,"Near Put Wall","")
)</f>
        <v/>
      </c>
      <c r="H2" t="str">
        <f>IF(RawData!M2="","",
   IF(RawData!M2&lt;0,"Below Flip","Above Flip")
)</f>
        <v/>
      </c>
      <c r="I2" t="str">
        <f>IF(RawData!C2="","",
   (IF(B2="Long Gamma",10,0)) +
   (IF(RawData!E2&lt;0,10,0)) +
   (IF(AND(RawData!F2&lt;0,RawData!P2="Up"),10,0)) +
   (IF(AND(RawData!F2&gt;0,RawData!P2="Down"),10,0)) +
   (IF(RawData!G2&gt;0,10,0)) +
   (IF(RawData!L2&lt;0.02,5,0)) +
   (IF(RawData!M2&gt;0,5,0))
)</f>
        <v/>
      </c>
      <c r="J2" t="str">
        <f>IF(RawData!C2="","",
   (IF(B2="Short Gamma",10,0)) +
   (IF(RawData!E2&gt;0,10,0)) +
   (IF(AND(RawData!F2&gt;0,RawData!P2="Up"),10,0)) +
   (IF(AND(RawData!F2&lt;0,RawData!P2="Down"),10,0)) +
   (IF(RawData!G2&lt;0,10,0)) +
   (IF(RawData!K2&lt;0.02,5,0)) +
   (IF(RawData!M2&lt;0,5,0))
)</f>
        <v/>
      </c>
      <c r="K2" t="str">
        <f>IF(Table1[[#This Row],[BullScore]]&gt;Table1[[#This Row],[BearScore]],"Call",
   IF(Table1[[#This Row],[BearScore]]&gt;Table1[[#This Row],[BullScore]],"Put","Avoid")
)</f>
        <v>Avoid</v>
      </c>
      <c r="L2">
        <f>MAX(Table1[[#This Row],[BullScore]],Table1[[#This Row],[BearScore]])</f>
        <v>0</v>
      </c>
      <c r="M2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3" spans="1:13" x14ac:dyDescent="0.25">
      <c r="A3" s="1"/>
      <c r="K3" t="str">
        <f>IF(Table1[[#This Row],[BullScore]]&gt;Table1[[#This Row],[BearScore]],"Call",
   IF(Table1[[#This Row],[BearScore]]&gt;Table1[[#This Row],[BullScore]],"Put","Avoid")
)</f>
        <v>Avoid</v>
      </c>
      <c r="L3">
        <f>MAX(Table1[[#This Row],[BullScore]],Table1[[#This Row],[BearScore]])</f>
        <v>0</v>
      </c>
      <c r="M3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4" spans="1:13" x14ac:dyDescent="0.25">
      <c r="A4" s="1"/>
      <c r="K4" t="str">
        <f>IF(Table1[[#This Row],[BullScore]]&gt;Table1[[#This Row],[BearScore]],"Call",
   IF(Table1[[#This Row],[BearScore]]&gt;Table1[[#This Row],[BullScore]],"Put","Avoid")
)</f>
        <v>Avoid</v>
      </c>
      <c r="L4">
        <f>MAX(Table1[[#This Row],[BullScore]],Table1[[#This Row],[BearScore]])</f>
        <v>0</v>
      </c>
      <c r="M4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5" spans="1:13" x14ac:dyDescent="0.25">
      <c r="A5" s="1"/>
      <c r="K5" t="str">
        <f>IF(Table1[[#This Row],[BullScore]]&gt;Table1[[#This Row],[BearScore]],"Call",
   IF(Table1[[#This Row],[BearScore]]&gt;Table1[[#This Row],[BullScore]],"Put","Avoid")
)</f>
        <v>Avoid</v>
      </c>
      <c r="L5">
        <f>MAX(Table1[[#This Row],[BullScore]],Table1[[#This Row],[BearScore]])</f>
        <v>0</v>
      </c>
      <c r="M5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6" spans="1:13" x14ac:dyDescent="0.25">
      <c r="A6" s="1"/>
      <c r="K6" t="str">
        <f>IF(Table1[[#This Row],[BullScore]]&gt;Table1[[#This Row],[BearScore]],"Call",
   IF(Table1[[#This Row],[BearScore]]&gt;Table1[[#This Row],[BullScore]],"Put","Avoid")
)</f>
        <v>Avoid</v>
      </c>
      <c r="L6">
        <f>MAX(Table1[[#This Row],[BullScore]],Table1[[#This Row],[BearScore]])</f>
        <v>0</v>
      </c>
      <c r="M6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7" spans="1:13" x14ac:dyDescent="0.25">
      <c r="A7" s="1"/>
      <c r="K7" t="str">
        <f>IF(Table1[[#This Row],[BullScore]]&gt;Table1[[#This Row],[BearScore]],"Call",
   IF(Table1[[#This Row],[BearScore]]&gt;Table1[[#This Row],[BullScore]],"Put","Avoid")
)</f>
        <v>Avoid</v>
      </c>
      <c r="L7">
        <f>MAX(Table1[[#This Row],[BullScore]],Table1[[#This Row],[BearScore]])</f>
        <v>0</v>
      </c>
      <c r="M7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8" spans="1:13" x14ac:dyDescent="0.25">
      <c r="A8" s="1"/>
      <c r="K8" t="str">
        <f>IF(Table1[[#This Row],[BullScore]]&gt;Table1[[#This Row],[BearScore]],"Call",
   IF(Table1[[#This Row],[BearScore]]&gt;Table1[[#This Row],[BullScore]],"Put","Avoid")
)</f>
        <v>Avoid</v>
      </c>
      <c r="L8">
        <f>MAX(Table1[[#This Row],[BullScore]],Table1[[#This Row],[BearScore]])</f>
        <v>0</v>
      </c>
      <c r="M8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9" spans="1:13" x14ac:dyDescent="0.25">
      <c r="A9" s="1"/>
      <c r="K9" t="str">
        <f>IF(Table1[[#This Row],[BullScore]]&gt;Table1[[#This Row],[BearScore]],"Call",
   IF(Table1[[#This Row],[BearScore]]&gt;Table1[[#This Row],[BullScore]],"Put","Avoid")
)</f>
        <v>Avoid</v>
      </c>
      <c r="L9">
        <f>MAX(Table1[[#This Row],[BullScore]],Table1[[#This Row],[BearScore]])</f>
        <v>0</v>
      </c>
      <c r="M9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0" spans="1:13" x14ac:dyDescent="0.25">
      <c r="A10" s="1"/>
      <c r="K10" t="str">
        <f>IF(Table1[[#This Row],[BullScore]]&gt;Table1[[#This Row],[BearScore]],"Call",
   IF(Table1[[#This Row],[BearScore]]&gt;Table1[[#This Row],[BullScore]],"Put","Avoid")
)</f>
        <v>Avoid</v>
      </c>
      <c r="L10">
        <f>MAX(Table1[[#This Row],[BullScore]],Table1[[#This Row],[BearScore]])</f>
        <v>0</v>
      </c>
      <c r="M10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1" spans="1:13" x14ac:dyDescent="0.25">
      <c r="A11" s="1"/>
      <c r="K11" t="str">
        <f>IF(Table1[[#This Row],[BullScore]]&gt;Table1[[#This Row],[BearScore]],"Call",
   IF(Table1[[#This Row],[BearScore]]&gt;Table1[[#This Row],[BullScore]],"Put","Avoid")
)</f>
        <v>Avoid</v>
      </c>
      <c r="L11">
        <f>MAX(Table1[[#This Row],[BullScore]],Table1[[#This Row],[BearScore]])</f>
        <v>0</v>
      </c>
      <c r="M11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2" spans="1:13" x14ac:dyDescent="0.25">
      <c r="A12" s="1"/>
      <c r="K12" t="str">
        <f>IF(Table1[[#This Row],[BullScore]]&gt;Table1[[#This Row],[BearScore]],"Call",
   IF(Table1[[#This Row],[BearScore]]&gt;Table1[[#This Row],[BullScore]],"Put","Avoid")
)</f>
        <v>Avoid</v>
      </c>
      <c r="L12">
        <f>MAX(Table1[[#This Row],[BullScore]],Table1[[#This Row],[BearScore]])</f>
        <v>0</v>
      </c>
      <c r="M12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3" spans="1:13" x14ac:dyDescent="0.25">
      <c r="A13" s="1"/>
      <c r="K13" t="str">
        <f>IF(Table1[[#This Row],[BullScore]]&gt;Table1[[#This Row],[BearScore]],"Call",
   IF(Table1[[#This Row],[BearScore]]&gt;Table1[[#This Row],[BullScore]],"Put","Avoid")
)</f>
        <v>Avoid</v>
      </c>
      <c r="L13">
        <f>MAX(Table1[[#This Row],[BullScore]],Table1[[#This Row],[BearScore]])</f>
        <v>0</v>
      </c>
      <c r="M13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4" spans="1:13" x14ac:dyDescent="0.25">
      <c r="A14" s="1"/>
      <c r="K14" t="str">
        <f>IF(Table1[[#This Row],[BullScore]]&gt;Table1[[#This Row],[BearScore]],"Call",
   IF(Table1[[#This Row],[BearScore]]&gt;Table1[[#This Row],[BullScore]],"Put","Avoid")
)</f>
        <v>Avoid</v>
      </c>
      <c r="L14">
        <f>MAX(Table1[[#This Row],[BullScore]],Table1[[#This Row],[BearScore]])</f>
        <v>0</v>
      </c>
      <c r="M14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5" spans="1:13" x14ac:dyDescent="0.25">
      <c r="A15" s="1"/>
      <c r="K15" t="str">
        <f>IF(Table1[[#This Row],[BullScore]]&gt;Table1[[#This Row],[BearScore]],"Call",
   IF(Table1[[#This Row],[BearScore]]&gt;Table1[[#This Row],[BullScore]],"Put","Avoid")
)</f>
        <v>Avoid</v>
      </c>
      <c r="L15">
        <f>MAX(Table1[[#This Row],[BullScore]],Table1[[#This Row],[BearScore]])</f>
        <v>0</v>
      </c>
      <c r="M15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6" spans="1:13" x14ac:dyDescent="0.25">
      <c r="K16" t="str">
        <f>IF(Table1[[#This Row],[BullScore]]&gt;Table1[[#This Row],[BearScore]],"Call",
   IF(Table1[[#This Row],[BearScore]]&gt;Table1[[#This Row],[BullScore]],"Put","Avoid")
)</f>
        <v>Avoid</v>
      </c>
      <c r="L16">
        <f>MAX(Table1[[#This Row],[BullScore]],Table1[[#This Row],[BearScore]])</f>
        <v>0</v>
      </c>
      <c r="M16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7" spans="11:13" x14ac:dyDescent="0.25">
      <c r="K17" t="str">
        <f>IF(Table1[[#This Row],[BullScore]]&gt;Table1[[#This Row],[BearScore]],"Call",
   IF(Table1[[#This Row],[BearScore]]&gt;Table1[[#This Row],[BullScore]],"Put","Avoid")
)</f>
        <v>Avoid</v>
      </c>
      <c r="L17">
        <f>MAX(Table1[[#This Row],[BullScore]],Table1[[#This Row],[BearScore]])</f>
        <v>0</v>
      </c>
      <c r="M17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8" spans="11:13" x14ac:dyDescent="0.25">
      <c r="K18" t="str">
        <f>IF(Table1[[#This Row],[BullScore]]&gt;Table1[[#This Row],[BearScore]],"Call",
   IF(Table1[[#This Row],[BearScore]]&gt;Table1[[#This Row],[BullScore]],"Put","Avoid")
)</f>
        <v>Avoid</v>
      </c>
      <c r="L18">
        <f>MAX(Table1[[#This Row],[BullScore]],Table1[[#This Row],[BearScore]])</f>
        <v>0</v>
      </c>
      <c r="M18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9" spans="11:13" x14ac:dyDescent="0.25">
      <c r="K19" t="str">
        <f>IF(Table1[[#This Row],[BullScore]]&gt;Table1[[#This Row],[BearScore]],"Call",
   IF(Table1[[#This Row],[BearScore]]&gt;Table1[[#This Row],[BullScore]],"Put","Avoid")
)</f>
        <v>Avoid</v>
      </c>
      <c r="L19">
        <f>MAX(Table1[[#This Row],[BullScore]],Table1[[#This Row],[BearScore]])</f>
        <v>0</v>
      </c>
      <c r="M19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20" spans="11:13" x14ac:dyDescent="0.25">
      <c r="K20" t="str">
        <f>IF(Table1[[#This Row],[BullScore]]&gt;Table1[[#This Row],[BearScore]],"Call",
   IF(Table1[[#This Row],[BearScore]]&gt;Table1[[#This Row],[BullScore]],"Put","Avoid")
)</f>
        <v>Avoid</v>
      </c>
      <c r="L20">
        <f>MAX(Table1[[#This Row],[BullScore]],Table1[[#This Row],[BearScore]])</f>
        <v>0</v>
      </c>
      <c r="M20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21" spans="11:13" x14ac:dyDescent="0.25">
      <c r="K21" t="str">
        <f>IF(Table1[[#This Row],[BullScore]]&gt;Table1[[#This Row],[BearScore]],"Call",
   IF(Table1[[#This Row],[BearScore]]&gt;Table1[[#This Row],[BullScore]],"Put","Avoid")
)</f>
        <v>Avoid</v>
      </c>
      <c r="L21">
        <f>MAX(Table1[[#This Row],[BullScore]],Table1[[#This Row],[BearScore]])</f>
        <v>0</v>
      </c>
      <c r="M21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22" spans="11:13" x14ac:dyDescent="0.25">
      <c r="K22" t="str">
        <f>IF(Table1[[#This Row],[BullScore]]&gt;Table1[[#This Row],[BearScore]],"Call",
   IF(Table1[[#This Row],[BearScore]]&gt;Table1[[#This Row],[BullScore]],"Put","Avoid")
)</f>
        <v>Avoid</v>
      </c>
      <c r="L22">
        <f>MAX(Table1[[#This Row],[BullScore]],Table1[[#This Row],[BearScore]])</f>
        <v>0</v>
      </c>
      <c r="M22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23" spans="11:13" x14ac:dyDescent="0.25">
      <c r="K23" t="str">
        <f>IF(Table1[[#This Row],[BullScore]]&gt;Table1[[#This Row],[BearScore]],"Call",
   IF(Table1[[#This Row],[BearScore]]&gt;Table1[[#This Row],[BullScore]],"Put","Avoid")
)</f>
        <v>Avoid</v>
      </c>
      <c r="L23">
        <f>MAX(Table1[[#This Row],[BullScore]],Table1[[#This Row],[BearScore]])</f>
        <v>0</v>
      </c>
      <c r="M23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24" spans="11:13" x14ac:dyDescent="0.25">
      <c r="K24" t="str">
        <f>IF(Table1[[#This Row],[BullScore]]&gt;Table1[[#This Row],[BearScore]],"Call",
   IF(Table1[[#This Row],[BearScore]]&gt;Table1[[#This Row],[BullScore]],"Put","Avoid")
)</f>
        <v>Avoid</v>
      </c>
      <c r="L24">
        <f>MAX(Table1[[#This Row],[BullScore]],Table1[[#This Row],[BearScore]])</f>
        <v>0</v>
      </c>
      <c r="M24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25" spans="11:13" x14ac:dyDescent="0.25">
      <c r="K25" t="str">
        <f>IF(Table1[[#This Row],[BullScore]]&gt;Table1[[#This Row],[BearScore]],"Call",
   IF(Table1[[#This Row],[BearScore]]&gt;Table1[[#This Row],[BullScore]],"Put","Avoid")
)</f>
        <v>Avoid</v>
      </c>
      <c r="L25">
        <f>MAX(Table1[[#This Row],[BullScore]],Table1[[#This Row],[BearScore]])</f>
        <v>0</v>
      </c>
      <c r="M25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26" spans="11:13" x14ac:dyDescent="0.25">
      <c r="K26" t="str">
        <f>IF(Table1[[#This Row],[BullScore]]&gt;Table1[[#This Row],[BearScore]],"Call",
   IF(Table1[[#This Row],[BearScore]]&gt;Table1[[#This Row],[BullScore]],"Put","Avoid")
)</f>
        <v>Avoid</v>
      </c>
      <c r="L26">
        <f>MAX(Table1[[#This Row],[BullScore]],Table1[[#This Row],[BearScore]])</f>
        <v>0</v>
      </c>
      <c r="M26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27" spans="11:13" x14ac:dyDescent="0.25">
      <c r="K27" t="str">
        <f>IF(Table1[[#This Row],[BullScore]]&gt;Table1[[#This Row],[BearScore]],"Call",
   IF(Table1[[#This Row],[BearScore]]&gt;Table1[[#This Row],[BullScore]],"Put","Avoid")
)</f>
        <v>Avoid</v>
      </c>
      <c r="L27">
        <f>MAX(Table1[[#This Row],[BullScore]],Table1[[#This Row],[BearScore]])</f>
        <v>0</v>
      </c>
      <c r="M27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28" spans="11:13" x14ac:dyDescent="0.25">
      <c r="K28" t="str">
        <f>IF(Table1[[#This Row],[BullScore]]&gt;Table1[[#This Row],[BearScore]],"Call",
   IF(Table1[[#This Row],[BearScore]]&gt;Table1[[#This Row],[BullScore]],"Put","Avoid")
)</f>
        <v>Avoid</v>
      </c>
      <c r="L28">
        <f>MAX(Table1[[#This Row],[BullScore]],Table1[[#This Row],[BearScore]])</f>
        <v>0</v>
      </c>
      <c r="M28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29" spans="11:13" x14ac:dyDescent="0.25">
      <c r="K29" t="str">
        <f>IF(Table1[[#This Row],[BullScore]]&gt;Table1[[#This Row],[BearScore]],"Call",
   IF(Table1[[#This Row],[BearScore]]&gt;Table1[[#This Row],[BullScore]],"Put","Avoid")
)</f>
        <v>Avoid</v>
      </c>
      <c r="L29">
        <f>MAX(Table1[[#This Row],[BullScore]],Table1[[#This Row],[BearScore]])</f>
        <v>0</v>
      </c>
      <c r="M29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30" spans="11:13" x14ac:dyDescent="0.25">
      <c r="K30" t="str">
        <f>IF(Table1[[#This Row],[BullScore]]&gt;Table1[[#This Row],[BearScore]],"Call",
   IF(Table1[[#This Row],[BearScore]]&gt;Table1[[#This Row],[BullScore]],"Put","Avoid")
)</f>
        <v>Avoid</v>
      </c>
      <c r="L30">
        <f>MAX(Table1[[#This Row],[BullScore]],Table1[[#This Row],[BearScore]])</f>
        <v>0</v>
      </c>
      <c r="M30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31" spans="11:13" x14ac:dyDescent="0.25">
      <c r="K31" t="str">
        <f>IF(Table1[[#This Row],[BullScore]]&gt;Table1[[#This Row],[BearScore]],"Call",
   IF(Table1[[#This Row],[BearScore]]&gt;Table1[[#This Row],[BullScore]],"Put","Avoid")
)</f>
        <v>Avoid</v>
      </c>
      <c r="L31">
        <f>MAX(Table1[[#This Row],[BullScore]],Table1[[#This Row],[BearScore]])</f>
        <v>0</v>
      </c>
      <c r="M31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32" spans="11:13" x14ac:dyDescent="0.25">
      <c r="K32" t="str">
        <f>IF(Table1[[#This Row],[BullScore]]&gt;Table1[[#This Row],[BearScore]],"Call",
   IF(Table1[[#This Row],[BearScore]]&gt;Table1[[#This Row],[BullScore]],"Put","Avoid")
)</f>
        <v>Avoid</v>
      </c>
      <c r="L32">
        <f>MAX(Table1[[#This Row],[BullScore]],Table1[[#This Row],[BearScore]])</f>
        <v>0</v>
      </c>
      <c r="M32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33" spans="11:13" x14ac:dyDescent="0.25">
      <c r="K33" t="str">
        <f>IF(Table1[[#This Row],[BullScore]]&gt;Table1[[#This Row],[BearScore]],"Call",
   IF(Table1[[#This Row],[BearScore]]&gt;Table1[[#This Row],[BullScore]],"Put","Avoid")
)</f>
        <v>Avoid</v>
      </c>
      <c r="L33">
        <f>MAX(Table1[[#This Row],[BullScore]],Table1[[#This Row],[BearScore]])</f>
        <v>0</v>
      </c>
      <c r="M33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34" spans="11:13" x14ac:dyDescent="0.25">
      <c r="K34" t="str">
        <f>IF(Table1[[#This Row],[BullScore]]&gt;Table1[[#This Row],[BearScore]],"Call",
   IF(Table1[[#This Row],[BearScore]]&gt;Table1[[#This Row],[BullScore]],"Put","Avoid")
)</f>
        <v>Avoid</v>
      </c>
      <c r="L34">
        <f>MAX(Table1[[#This Row],[BullScore]],Table1[[#This Row],[BearScore]])</f>
        <v>0</v>
      </c>
      <c r="M34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35" spans="11:13" x14ac:dyDescent="0.25">
      <c r="K35" t="str">
        <f>IF(Table1[[#This Row],[BullScore]]&gt;Table1[[#This Row],[BearScore]],"Call",
   IF(Table1[[#This Row],[BearScore]]&gt;Table1[[#This Row],[BullScore]],"Put","Avoid")
)</f>
        <v>Avoid</v>
      </c>
      <c r="L35">
        <f>MAX(Table1[[#This Row],[BullScore]],Table1[[#This Row],[BearScore]])</f>
        <v>0</v>
      </c>
      <c r="M35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36" spans="11:13" x14ac:dyDescent="0.25">
      <c r="K36" t="str">
        <f>IF(Table1[[#This Row],[BullScore]]&gt;Table1[[#This Row],[BearScore]],"Call",
   IF(Table1[[#This Row],[BearScore]]&gt;Table1[[#This Row],[BullScore]],"Put","Avoid")
)</f>
        <v>Avoid</v>
      </c>
      <c r="L36">
        <f>MAX(Table1[[#This Row],[BullScore]],Table1[[#This Row],[BearScore]])</f>
        <v>0</v>
      </c>
      <c r="M36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37" spans="11:13" x14ac:dyDescent="0.25">
      <c r="K37" t="str">
        <f>IF(Table1[[#This Row],[BullScore]]&gt;Table1[[#This Row],[BearScore]],"Call",
   IF(Table1[[#This Row],[BearScore]]&gt;Table1[[#This Row],[BullScore]],"Put","Avoid")
)</f>
        <v>Avoid</v>
      </c>
      <c r="L37">
        <f>MAX(Table1[[#This Row],[BullScore]],Table1[[#This Row],[BearScore]])</f>
        <v>0</v>
      </c>
      <c r="M37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38" spans="11:13" x14ac:dyDescent="0.25">
      <c r="K38" t="str">
        <f>IF(Table1[[#This Row],[BullScore]]&gt;Table1[[#This Row],[BearScore]],"Call",
   IF(Table1[[#This Row],[BearScore]]&gt;Table1[[#This Row],[BullScore]],"Put","Avoid")
)</f>
        <v>Avoid</v>
      </c>
      <c r="L38">
        <f>MAX(Table1[[#This Row],[BullScore]],Table1[[#This Row],[BearScore]])</f>
        <v>0</v>
      </c>
      <c r="M38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39" spans="11:13" x14ac:dyDescent="0.25">
      <c r="K39" t="str">
        <f>IF(Table1[[#This Row],[BullScore]]&gt;Table1[[#This Row],[BearScore]],"Call",
   IF(Table1[[#This Row],[BearScore]]&gt;Table1[[#This Row],[BullScore]],"Put","Avoid")
)</f>
        <v>Avoid</v>
      </c>
      <c r="L39">
        <f>MAX(Table1[[#This Row],[BullScore]],Table1[[#This Row],[BearScore]])</f>
        <v>0</v>
      </c>
      <c r="M39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40" spans="11:13" x14ac:dyDescent="0.25">
      <c r="K40" t="str">
        <f>IF(Table1[[#This Row],[BullScore]]&gt;Table1[[#This Row],[BearScore]],"Call",
   IF(Table1[[#This Row],[BearScore]]&gt;Table1[[#This Row],[BullScore]],"Put","Avoid")
)</f>
        <v>Avoid</v>
      </c>
      <c r="L40">
        <f>MAX(Table1[[#This Row],[BullScore]],Table1[[#This Row],[BearScore]])</f>
        <v>0</v>
      </c>
      <c r="M40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41" spans="11:13" x14ac:dyDescent="0.25">
      <c r="K41" t="str">
        <f>IF(Table1[[#This Row],[BullScore]]&gt;Table1[[#This Row],[BearScore]],"Call",
   IF(Table1[[#This Row],[BearScore]]&gt;Table1[[#This Row],[BullScore]],"Put","Avoid")
)</f>
        <v>Avoid</v>
      </c>
      <c r="L41">
        <f>MAX(Table1[[#This Row],[BullScore]],Table1[[#This Row],[BearScore]])</f>
        <v>0</v>
      </c>
      <c r="M41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42" spans="11:13" x14ac:dyDescent="0.25">
      <c r="K42" t="str">
        <f>IF(Table1[[#This Row],[BullScore]]&gt;Table1[[#This Row],[BearScore]],"Call",
   IF(Table1[[#This Row],[BearScore]]&gt;Table1[[#This Row],[BullScore]],"Put","Avoid")
)</f>
        <v>Avoid</v>
      </c>
      <c r="L42">
        <f>MAX(Table1[[#This Row],[BullScore]],Table1[[#This Row],[BearScore]])</f>
        <v>0</v>
      </c>
      <c r="M42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43" spans="11:13" x14ac:dyDescent="0.25">
      <c r="K43" t="str">
        <f>IF(Table1[[#This Row],[BullScore]]&gt;Table1[[#This Row],[BearScore]],"Call",
   IF(Table1[[#This Row],[BearScore]]&gt;Table1[[#This Row],[BullScore]],"Put","Avoid")
)</f>
        <v>Avoid</v>
      </c>
      <c r="L43">
        <f>MAX(Table1[[#This Row],[BullScore]],Table1[[#This Row],[BearScore]])</f>
        <v>0</v>
      </c>
      <c r="M43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44" spans="11:13" x14ac:dyDescent="0.25">
      <c r="K44" t="str">
        <f>IF(Table1[[#This Row],[BullScore]]&gt;Table1[[#This Row],[BearScore]],"Call",
   IF(Table1[[#This Row],[BearScore]]&gt;Table1[[#This Row],[BullScore]],"Put","Avoid")
)</f>
        <v>Avoid</v>
      </c>
      <c r="L44">
        <f>MAX(Table1[[#This Row],[BullScore]],Table1[[#This Row],[BearScore]])</f>
        <v>0</v>
      </c>
      <c r="M44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45" spans="11:13" x14ac:dyDescent="0.25">
      <c r="K45" t="str">
        <f>IF(Table1[[#This Row],[BullScore]]&gt;Table1[[#This Row],[BearScore]],"Call",
   IF(Table1[[#This Row],[BearScore]]&gt;Table1[[#This Row],[BullScore]],"Put","Avoid")
)</f>
        <v>Avoid</v>
      </c>
      <c r="L45">
        <f>MAX(Table1[[#This Row],[BullScore]],Table1[[#This Row],[BearScore]])</f>
        <v>0</v>
      </c>
      <c r="M45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46" spans="11:13" x14ac:dyDescent="0.25">
      <c r="K46" t="str">
        <f>IF(Table1[[#This Row],[BullScore]]&gt;Table1[[#This Row],[BearScore]],"Call",
   IF(Table1[[#This Row],[BearScore]]&gt;Table1[[#This Row],[BullScore]],"Put","Avoid")
)</f>
        <v>Avoid</v>
      </c>
      <c r="L46">
        <f>MAX(Table1[[#This Row],[BullScore]],Table1[[#This Row],[BearScore]])</f>
        <v>0</v>
      </c>
      <c r="M46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47" spans="11:13" x14ac:dyDescent="0.25">
      <c r="K47" t="str">
        <f>IF(Table1[[#This Row],[BullScore]]&gt;Table1[[#This Row],[BearScore]],"Call",
   IF(Table1[[#This Row],[BearScore]]&gt;Table1[[#This Row],[BullScore]],"Put","Avoid")
)</f>
        <v>Avoid</v>
      </c>
      <c r="L47">
        <f>MAX(Table1[[#This Row],[BullScore]],Table1[[#This Row],[BearScore]])</f>
        <v>0</v>
      </c>
      <c r="M47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48" spans="11:13" x14ac:dyDescent="0.25">
      <c r="K48" t="str">
        <f>IF(Table1[[#This Row],[BullScore]]&gt;Table1[[#This Row],[BearScore]],"Call",
   IF(Table1[[#This Row],[BearScore]]&gt;Table1[[#This Row],[BullScore]],"Put","Avoid")
)</f>
        <v>Avoid</v>
      </c>
      <c r="L48">
        <f>MAX(Table1[[#This Row],[BullScore]],Table1[[#This Row],[BearScore]])</f>
        <v>0</v>
      </c>
      <c r="M48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49" spans="11:13" x14ac:dyDescent="0.25">
      <c r="K49" t="str">
        <f>IF(Table1[[#This Row],[BullScore]]&gt;Table1[[#This Row],[BearScore]],"Call",
   IF(Table1[[#This Row],[BearScore]]&gt;Table1[[#This Row],[BullScore]],"Put","Avoid")
)</f>
        <v>Avoid</v>
      </c>
      <c r="L49">
        <f>MAX(Table1[[#This Row],[BullScore]],Table1[[#This Row],[BearScore]])</f>
        <v>0</v>
      </c>
      <c r="M49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50" spans="11:13" x14ac:dyDescent="0.25">
      <c r="K50" t="str">
        <f>IF(Table1[[#This Row],[BullScore]]&gt;Table1[[#This Row],[BearScore]],"Call",
   IF(Table1[[#This Row],[BearScore]]&gt;Table1[[#This Row],[BullScore]],"Put","Avoid")
)</f>
        <v>Avoid</v>
      </c>
      <c r="L50">
        <f>MAX(Table1[[#This Row],[BullScore]],Table1[[#This Row],[BearScore]])</f>
        <v>0</v>
      </c>
      <c r="M50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51" spans="11:13" x14ac:dyDescent="0.25">
      <c r="K51" t="str">
        <f>IF(Table1[[#This Row],[BullScore]]&gt;Table1[[#This Row],[BearScore]],"Call",
   IF(Table1[[#This Row],[BearScore]]&gt;Table1[[#This Row],[BullScore]],"Put","Avoid")
)</f>
        <v>Avoid</v>
      </c>
      <c r="L51">
        <f>MAX(Table1[[#This Row],[BullScore]],Table1[[#This Row],[BearScore]])</f>
        <v>0</v>
      </c>
      <c r="M51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52" spans="11:13" x14ac:dyDescent="0.25">
      <c r="K52" t="str">
        <f>IF(Table1[[#This Row],[BullScore]]&gt;Table1[[#This Row],[BearScore]],"Call",
   IF(Table1[[#This Row],[BearScore]]&gt;Table1[[#This Row],[BullScore]],"Put","Avoid")
)</f>
        <v>Avoid</v>
      </c>
      <c r="L52">
        <f>MAX(Table1[[#This Row],[BullScore]],Table1[[#This Row],[BearScore]])</f>
        <v>0</v>
      </c>
      <c r="M52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53" spans="11:13" x14ac:dyDescent="0.25">
      <c r="K53" t="str">
        <f>IF(Table1[[#This Row],[BullScore]]&gt;Table1[[#This Row],[BearScore]],"Call",
   IF(Table1[[#This Row],[BearScore]]&gt;Table1[[#This Row],[BullScore]],"Put","Avoid")
)</f>
        <v>Avoid</v>
      </c>
      <c r="L53">
        <f>MAX(Table1[[#This Row],[BullScore]],Table1[[#This Row],[BearScore]])</f>
        <v>0</v>
      </c>
      <c r="M53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54" spans="11:13" x14ac:dyDescent="0.25">
      <c r="K54" t="str">
        <f>IF(Table1[[#This Row],[BullScore]]&gt;Table1[[#This Row],[BearScore]],"Call",
   IF(Table1[[#This Row],[BearScore]]&gt;Table1[[#This Row],[BullScore]],"Put","Avoid")
)</f>
        <v>Avoid</v>
      </c>
      <c r="L54">
        <f>MAX(Table1[[#This Row],[BullScore]],Table1[[#This Row],[BearScore]])</f>
        <v>0</v>
      </c>
      <c r="M54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55" spans="11:13" x14ac:dyDescent="0.25">
      <c r="K55" t="str">
        <f>IF(Table1[[#This Row],[BullScore]]&gt;Table1[[#This Row],[BearScore]],"Call",
   IF(Table1[[#This Row],[BearScore]]&gt;Table1[[#This Row],[BullScore]],"Put","Avoid")
)</f>
        <v>Avoid</v>
      </c>
      <c r="L55">
        <f>MAX(Table1[[#This Row],[BullScore]],Table1[[#This Row],[BearScore]])</f>
        <v>0</v>
      </c>
      <c r="M55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56" spans="11:13" x14ac:dyDescent="0.25">
      <c r="K56" t="str">
        <f>IF(Table1[[#This Row],[BullScore]]&gt;Table1[[#This Row],[BearScore]],"Call",
   IF(Table1[[#This Row],[BearScore]]&gt;Table1[[#This Row],[BullScore]],"Put","Avoid")
)</f>
        <v>Avoid</v>
      </c>
      <c r="L56">
        <f>MAX(Table1[[#This Row],[BullScore]],Table1[[#This Row],[BearScore]])</f>
        <v>0</v>
      </c>
      <c r="M56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57" spans="11:13" x14ac:dyDescent="0.25">
      <c r="K57" t="str">
        <f>IF(Table1[[#This Row],[BullScore]]&gt;Table1[[#This Row],[BearScore]],"Call",
   IF(Table1[[#This Row],[BearScore]]&gt;Table1[[#This Row],[BullScore]],"Put","Avoid")
)</f>
        <v>Avoid</v>
      </c>
      <c r="L57">
        <f>MAX(Table1[[#This Row],[BullScore]],Table1[[#This Row],[BearScore]])</f>
        <v>0</v>
      </c>
      <c r="M57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58" spans="11:13" x14ac:dyDescent="0.25">
      <c r="K58" t="str">
        <f>IF(Table1[[#This Row],[BullScore]]&gt;Table1[[#This Row],[BearScore]],"Call",
   IF(Table1[[#This Row],[BearScore]]&gt;Table1[[#This Row],[BullScore]],"Put","Avoid")
)</f>
        <v>Avoid</v>
      </c>
      <c r="L58">
        <f>MAX(Table1[[#This Row],[BullScore]],Table1[[#This Row],[BearScore]])</f>
        <v>0</v>
      </c>
      <c r="M58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59" spans="11:13" x14ac:dyDescent="0.25">
      <c r="K59" t="str">
        <f>IF(Table1[[#This Row],[BullScore]]&gt;Table1[[#This Row],[BearScore]],"Call",
   IF(Table1[[#This Row],[BearScore]]&gt;Table1[[#This Row],[BullScore]],"Put","Avoid")
)</f>
        <v>Avoid</v>
      </c>
      <c r="L59">
        <f>MAX(Table1[[#This Row],[BullScore]],Table1[[#This Row],[BearScore]])</f>
        <v>0</v>
      </c>
      <c r="M59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60" spans="11:13" x14ac:dyDescent="0.25">
      <c r="K60" t="str">
        <f>IF(Table1[[#This Row],[BullScore]]&gt;Table1[[#This Row],[BearScore]],"Call",
   IF(Table1[[#This Row],[BearScore]]&gt;Table1[[#This Row],[BullScore]],"Put","Avoid")
)</f>
        <v>Avoid</v>
      </c>
      <c r="L60">
        <f>MAX(Table1[[#This Row],[BullScore]],Table1[[#This Row],[BearScore]])</f>
        <v>0</v>
      </c>
      <c r="M60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61" spans="11:13" x14ac:dyDescent="0.25">
      <c r="K61" t="str">
        <f>IF(Table1[[#This Row],[BullScore]]&gt;Table1[[#This Row],[BearScore]],"Call",
   IF(Table1[[#This Row],[BearScore]]&gt;Table1[[#This Row],[BullScore]],"Put","Avoid")
)</f>
        <v>Avoid</v>
      </c>
      <c r="L61">
        <f>MAX(Table1[[#This Row],[BullScore]],Table1[[#This Row],[BearScore]])</f>
        <v>0</v>
      </c>
      <c r="M61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62" spans="11:13" x14ac:dyDescent="0.25">
      <c r="K62" t="str">
        <f>IF(Table1[[#This Row],[BullScore]]&gt;Table1[[#This Row],[BearScore]],"Call",
   IF(Table1[[#This Row],[BearScore]]&gt;Table1[[#This Row],[BullScore]],"Put","Avoid")
)</f>
        <v>Avoid</v>
      </c>
      <c r="L62">
        <f>MAX(Table1[[#This Row],[BullScore]],Table1[[#This Row],[BearScore]])</f>
        <v>0</v>
      </c>
      <c r="M62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63" spans="11:13" x14ac:dyDescent="0.25">
      <c r="K63" t="str">
        <f>IF(Table1[[#This Row],[BullScore]]&gt;Table1[[#This Row],[BearScore]],"Call",
   IF(Table1[[#This Row],[BearScore]]&gt;Table1[[#This Row],[BullScore]],"Put","Avoid")
)</f>
        <v>Avoid</v>
      </c>
      <c r="L63">
        <f>MAX(Table1[[#This Row],[BullScore]],Table1[[#This Row],[BearScore]])</f>
        <v>0</v>
      </c>
      <c r="M63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64" spans="11:13" x14ac:dyDescent="0.25">
      <c r="K64" t="str">
        <f>IF(Table1[[#This Row],[BullScore]]&gt;Table1[[#This Row],[BearScore]],"Call",
   IF(Table1[[#This Row],[BearScore]]&gt;Table1[[#This Row],[BullScore]],"Put","Avoid")
)</f>
        <v>Avoid</v>
      </c>
      <c r="L64">
        <f>MAX(Table1[[#This Row],[BullScore]],Table1[[#This Row],[BearScore]])</f>
        <v>0</v>
      </c>
      <c r="M64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65" spans="11:13" x14ac:dyDescent="0.25">
      <c r="K65" t="str">
        <f>IF(Table1[[#This Row],[BullScore]]&gt;Table1[[#This Row],[BearScore]],"Call",
   IF(Table1[[#This Row],[BearScore]]&gt;Table1[[#This Row],[BullScore]],"Put","Avoid")
)</f>
        <v>Avoid</v>
      </c>
      <c r="L65">
        <f>MAX(Table1[[#This Row],[BullScore]],Table1[[#This Row],[BearScore]])</f>
        <v>0</v>
      </c>
      <c r="M65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66" spans="11:13" x14ac:dyDescent="0.25">
      <c r="K66" t="str">
        <f>IF(Table1[[#This Row],[BullScore]]&gt;Table1[[#This Row],[BearScore]],"Call",
   IF(Table1[[#This Row],[BearScore]]&gt;Table1[[#This Row],[BullScore]],"Put","Avoid")
)</f>
        <v>Avoid</v>
      </c>
      <c r="L66">
        <f>MAX(Table1[[#This Row],[BullScore]],Table1[[#This Row],[BearScore]])</f>
        <v>0</v>
      </c>
      <c r="M66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67" spans="11:13" x14ac:dyDescent="0.25">
      <c r="K67" t="str">
        <f>IF(Table1[[#This Row],[BullScore]]&gt;Table1[[#This Row],[BearScore]],"Call",
   IF(Table1[[#This Row],[BearScore]]&gt;Table1[[#This Row],[BullScore]],"Put","Avoid")
)</f>
        <v>Avoid</v>
      </c>
      <c r="L67">
        <f>MAX(Table1[[#This Row],[BullScore]],Table1[[#This Row],[BearScore]])</f>
        <v>0</v>
      </c>
      <c r="M67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68" spans="11:13" x14ac:dyDescent="0.25">
      <c r="K68" t="str">
        <f>IF(Table1[[#This Row],[BullScore]]&gt;Table1[[#This Row],[BearScore]],"Call",
   IF(Table1[[#This Row],[BearScore]]&gt;Table1[[#This Row],[BullScore]],"Put","Avoid")
)</f>
        <v>Avoid</v>
      </c>
      <c r="L68">
        <f>MAX(Table1[[#This Row],[BullScore]],Table1[[#This Row],[BearScore]])</f>
        <v>0</v>
      </c>
      <c r="M68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69" spans="11:13" x14ac:dyDescent="0.25">
      <c r="K69" t="str">
        <f>IF(Table1[[#This Row],[BullScore]]&gt;Table1[[#This Row],[BearScore]],"Call",
   IF(Table1[[#This Row],[BearScore]]&gt;Table1[[#This Row],[BullScore]],"Put","Avoid")
)</f>
        <v>Avoid</v>
      </c>
      <c r="L69">
        <f>MAX(Table1[[#This Row],[BullScore]],Table1[[#This Row],[BearScore]])</f>
        <v>0</v>
      </c>
      <c r="M69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70" spans="11:13" x14ac:dyDescent="0.25">
      <c r="K70" t="str">
        <f>IF(Table1[[#This Row],[BullScore]]&gt;Table1[[#This Row],[BearScore]],"Call",
   IF(Table1[[#This Row],[BearScore]]&gt;Table1[[#This Row],[BullScore]],"Put","Avoid")
)</f>
        <v>Avoid</v>
      </c>
      <c r="L70">
        <f>MAX(Table1[[#This Row],[BullScore]],Table1[[#This Row],[BearScore]])</f>
        <v>0</v>
      </c>
      <c r="M70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71" spans="11:13" x14ac:dyDescent="0.25">
      <c r="K71" t="str">
        <f>IF(Table1[[#This Row],[BullScore]]&gt;Table1[[#This Row],[BearScore]],"Call",
   IF(Table1[[#This Row],[BearScore]]&gt;Table1[[#This Row],[BullScore]],"Put","Avoid")
)</f>
        <v>Avoid</v>
      </c>
      <c r="L71">
        <f>MAX(Table1[[#This Row],[BullScore]],Table1[[#This Row],[BearScore]])</f>
        <v>0</v>
      </c>
      <c r="M71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72" spans="11:13" x14ac:dyDescent="0.25">
      <c r="K72" t="str">
        <f>IF(Table1[[#This Row],[BullScore]]&gt;Table1[[#This Row],[BearScore]],"Call",
   IF(Table1[[#This Row],[BearScore]]&gt;Table1[[#This Row],[BullScore]],"Put","Avoid")
)</f>
        <v>Avoid</v>
      </c>
      <c r="L72">
        <f>MAX(Table1[[#This Row],[BullScore]],Table1[[#This Row],[BearScore]])</f>
        <v>0</v>
      </c>
      <c r="M72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73" spans="11:13" x14ac:dyDescent="0.25">
      <c r="K73" t="str">
        <f>IF(Table1[[#This Row],[BullScore]]&gt;Table1[[#This Row],[BearScore]],"Call",
   IF(Table1[[#This Row],[BearScore]]&gt;Table1[[#This Row],[BullScore]],"Put","Avoid")
)</f>
        <v>Avoid</v>
      </c>
      <c r="L73">
        <f>MAX(Table1[[#This Row],[BullScore]],Table1[[#This Row],[BearScore]])</f>
        <v>0</v>
      </c>
      <c r="M73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74" spans="11:13" x14ac:dyDescent="0.25">
      <c r="K74" t="str">
        <f>IF(Table1[[#This Row],[BullScore]]&gt;Table1[[#This Row],[BearScore]],"Call",
   IF(Table1[[#This Row],[BearScore]]&gt;Table1[[#This Row],[BullScore]],"Put","Avoid")
)</f>
        <v>Avoid</v>
      </c>
      <c r="L74">
        <f>MAX(Table1[[#This Row],[BullScore]],Table1[[#This Row],[BearScore]])</f>
        <v>0</v>
      </c>
      <c r="M74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75" spans="11:13" x14ac:dyDescent="0.25">
      <c r="K75" t="str">
        <f>IF(Table1[[#This Row],[BullScore]]&gt;Table1[[#This Row],[BearScore]],"Call",
   IF(Table1[[#This Row],[BearScore]]&gt;Table1[[#This Row],[BullScore]],"Put","Avoid")
)</f>
        <v>Avoid</v>
      </c>
      <c r="L75">
        <f>MAX(Table1[[#This Row],[BullScore]],Table1[[#This Row],[BearScore]])</f>
        <v>0</v>
      </c>
      <c r="M75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76" spans="11:13" x14ac:dyDescent="0.25">
      <c r="K76" t="str">
        <f>IF(Table1[[#This Row],[BullScore]]&gt;Table1[[#This Row],[BearScore]],"Call",
   IF(Table1[[#This Row],[BearScore]]&gt;Table1[[#This Row],[BullScore]],"Put","Avoid")
)</f>
        <v>Avoid</v>
      </c>
      <c r="L76">
        <f>MAX(Table1[[#This Row],[BullScore]],Table1[[#This Row],[BearScore]])</f>
        <v>0</v>
      </c>
      <c r="M76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77" spans="11:13" x14ac:dyDescent="0.25">
      <c r="K77" t="str">
        <f>IF(Table1[[#This Row],[BullScore]]&gt;Table1[[#This Row],[BearScore]],"Call",
   IF(Table1[[#This Row],[BearScore]]&gt;Table1[[#This Row],[BullScore]],"Put","Avoid")
)</f>
        <v>Avoid</v>
      </c>
      <c r="L77">
        <f>MAX(Table1[[#This Row],[BullScore]],Table1[[#This Row],[BearScore]])</f>
        <v>0</v>
      </c>
      <c r="M77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78" spans="11:13" x14ac:dyDescent="0.25">
      <c r="K78" t="str">
        <f>IF(Table1[[#This Row],[BullScore]]&gt;Table1[[#This Row],[BearScore]],"Call",
   IF(Table1[[#This Row],[BearScore]]&gt;Table1[[#This Row],[BullScore]],"Put","Avoid")
)</f>
        <v>Avoid</v>
      </c>
      <c r="L78">
        <f>MAX(Table1[[#This Row],[BullScore]],Table1[[#This Row],[BearScore]])</f>
        <v>0</v>
      </c>
      <c r="M78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79" spans="11:13" x14ac:dyDescent="0.25">
      <c r="K79" t="str">
        <f>IF(Table1[[#This Row],[BullScore]]&gt;Table1[[#This Row],[BearScore]],"Call",
   IF(Table1[[#This Row],[BearScore]]&gt;Table1[[#This Row],[BullScore]],"Put","Avoid")
)</f>
        <v>Avoid</v>
      </c>
      <c r="L79">
        <f>MAX(Table1[[#This Row],[BullScore]],Table1[[#This Row],[BearScore]])</f>
        <v>0</v>
      </c>
      <c r="M79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80" spans="11:13" x14ac:dyDescent="0.25">
      <c r="K80" t="str">
        <f>IF(Table1[[#This Row],[BullScore]]&gt;Table1[[#This Row],[BearScore]],"Call",
   IF(Table1[[#This Row],[BearScore]]&gt;Table1[[#This Row],[BullScore]],"Put","Avoid")
)</f>
        <v>Avoid</v>
      </c>
      <c r="L80">
        <f>MAX(Table1[[#This Row],[BullScore]],Table1[[#This Row],[BearScore]])</f>
        <v>0</v>
      </c>
      <c r="M80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81" spans="11:13" x14ac:dyDescent="0.25">
      <c r="K81" t="str">
        <f>IF(Table1[[#This Row],[BullScore]]&gt;Table1[[#This Row],[BearScore]],"Call",
   IF(Table1[[#This Row],[BearScore]]&gt;Table1[[#This Row],[BullScore]],"Put","Avoid")
)</f>
        <v>Avoid</v>
      </c>
      <c r="L81">
        <f>MAX(Table1[[#This Row],[BullScore]],Table1[[#This Row],[BearScore]])</f>
        <v>0</v>
      </c>
      <c r="M81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82" spans="11:13" x14ac:dyDescent="0.25">
      <c r="K82" t="str">
        <f>IF(Table1[[#This Row],[BullScore]]&gt;Table1[[#This Row],[BearScore]],"Call",
   IF(Table1[[#This Row],[BearScore]]&gt;Table1[[#This Row],[BullScore]],"Put","Avoid")
)</f>
        <v>Avoid</v>
      </c>
      <c r="L82">
        <f>MAX(Table1[[#This Row],[BullScore]],Table1[[#This Row],[BearScore]])</f>
        <v>0</v>
      </c>
      <c r="M82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83" spans="11:13" x14ac:dyDescent="0.25">
      <c r="K83" t="str">
        <f>IF(Table1[[#This Row],[BullScore]]&gt;Table1[[#This Row],[BearScore]],"Call",
   IF(Table1[[#This Row],[BearScore]]&gt;Table1[[#This Row],[BullScore]],"Put","Avoid")
)</f>
        <v>Avoid</v>
      </c>
      <c r="L83">
        <f>MAX(Table1[[#This Row],[BullScore]],Table1[[#This Row],[BearScore]])</f>
        <v>0</v>
      </c>
      <c r="M83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84" spans="11:13" x14ac:dyDescent="0.25">
      <c r="K84" t="str">
        <f>IF(Table1[[#This Row],[BullScore]]&gt;Table1[[#This Row],[BearScore]],"Call",
   IF(Table1[[#This Row],[BearScore]]&gt;Table1[[#This Row],[BullScore]],"Put","Avoid")
)</f>
        <v>Avoid</v>
      </c>
      <c r="L84">
        <f>MAX(Table1[[#This Row],[BullScore]],Table1[[#This Row],[BearScore]])</f>
        <v>0</v>
      </c>
      <c r="M84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85" spans="11:13" x14ac:dyDescent="0.25">
      <c r="K85" t="str">
        <f>IF(Table1[[#This Row],[BullScore]]&gt;Table1[[#This Row],[BearScore]],"Call",
   IF(Table1[[#This Row],[BearScore]]&gt;Table1[[#This Row],[BullScore]],"Put","Avoid")
)</f>
        <v>Avoid</v>
      </c>
      <c r="L85">
        <f>MAX(Table1[[#This Row],[BullScore]],Table1[[#This Row],[BearScore]])</f>
        <v>0</v>
      </c>
      <c r="M85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86" spans="11:13" x14ac:dyDescent="0.25">
      <c r="K86" t="str">
        <f>IF(Table1[[#This Row],[BullScore]]&gt;Table1[[#This Row],[BearScore]],"Call",
   IF(Table1[[#This Row],[BearScore]]&gt;Table1[[#This Row],[BullScore]],"Put","Avoid")
)</f>
        <v>Avoid</v>
      </c>
      <c r="L86">
        <f>MAX(Table1[[#This Row],[BullScore]],Table1[[#This Row],[BearScore]])</f>
        <v>0</v>
      </c>
      <c r="M86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87" spans="11:13" x14ac:dyDescent="0.25">
      <c r="K87" t="str">
        <f>IF(Table1[[#This Row],[BullScore]]&gt;Table1[[#This Row],[BearScore]],"Call",
   IF(Table1[[#This Row],[BearScore]]&gt;Table1[[#This Row],[BullScore]],"Put","Avoid")
)</f>
        <v>Avoid</v>
      </c>
      <c r="L87">
        <f>MAX(Table1[[#This Row],[BullScore]],Table1[[#This Row],[BearScore]])</f>
        <v>0</v>
      </c>
      <c r="M87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88" spans="11:13" x14ac:dyDescent="0.25">
      <c r="K88" t="str">
        <f>IF(Table1[[#This Row],[BullScore]]&gt;Table1[[#This Row],[BearScore]],"Call",
   IF(Table1[[#This Row],[BearScore]]&gt;Table1[[#This Row],[BullScore]],"Put","Avoid")
)</f>
        <v>Avoid</v>
      </c>
      <c r="L88">
        <f>MAX(Table1[[#This Row],[BullScore]],Table1[[#This Row],[BearScore]])</f>
        <v>0</v>
      </c>
      <c r="M88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89" spans="11:13" x14ac:dyDescent="0.25">
      <c r="K89" t="str">
        <f>IF(Table1[[#This Row],[BullScore]]&gt;Table1[[#This Row],[BearScore]],"Call",
   IF(Table1[[#This Row],[BearScore]]&gt;Table1[[#This Row],[BullScore]],"Put","Avoid")
)</f>
        <v>Avoid</v>
      </c>
      <c r="L89">
        <f>MAX(Table1[[#This Row],[BullScore]],Table1[[#This Row],[BearScore]])</f>
        <v>0</v>
      </c>
      <c r="M89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90" spans="11:13" x14ac:dyDescent="0.25">
      <c r="K90" t="str">
        <f>IF(Table1[[#This Row],[BullScore]]&gt;Table1[[#This Row],[BearScore]],"Call",
   IF(Table1[[#This Row],[BearScore]]&gt;Table1[[#This Row],[BullScore]],"Put","Avoid")
)</f>
        <v>Avoid</v>
      </c>
      <c r="L90">
        <f>MAX(Table1[[#This Row],[BullScore]],Table1[[#This Row],[BearScore]])</f>
        <v>0</v>
      </c>
      <c r="M90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91" spans="11:13" x14ac:dyDescent="0.25">
      <c r="K91" t="str">
        <f>IF(Table1[[#This Row],[BullScore]]&gt;Table1[[#This Row],[BearScore]],"Call",
   IF(Table1[[#This Row],[BearScore]]&gt;Table1[[#This Row],[BullScore]],"Put","Avoid")
)</f>
        <v>Avoid</v>
      </c>
      <c r="L91">
        <f>MAX(Table1[[#This Row],[BullScore]],Table1[[#This Row],[BearScore]])</f>
        <v>0</v>
      </c>
      <c r="M91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92" spans="11:13" x14ac:dyDescent="0.25">
      <c r="K92" t="str">
        <f>IF(Table1[[#This Row],[BullScore]]&gt;Table1[[#This Row],[BearScore]],"Call",
   IF(Table1[[#This Row],[BearScore]]&gt;Table1[[#This Row],[BullScore]],"Put","Avoid")
)</f>
        <v>Avoid</v>
      </c>
      <c r="L92">
        <f>MAX(Table1[[#This Row],[BullScore]],Table1[[#This Row],[BearScore]])</f>
        <v>0</v>
      </c>
      <c r="M92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93" spans="11:13" x14ac:dyDescent="0.25">
      <c r="K93" t="str">
        <f>IF(Table1[[#This Row],[BullScore]]&gt;Table1[[#This Row],[BearScore]],"Call",
   IF(Table1[[#This Row],[BearScore]]&gt;Table1[[#This Row],[BullScore]],"Put","Avoid")
)</f>
        <v>Avoid</v>
      </c>
      <c r="L93">
        <f>MAX(Table1[[#This Row],[BullScore]],Table1[[#This Row],[BearScore]])</f>
        <v>0</v>
      </c>
      <c r="M93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94" spans="11:13" x14ac:dyDescent="0.25">
      <c r="K94" t="str">
        <f>IF(Table1[[#This Row],[BullScore]]&gt;Table1[[#This Row],[BearScore]],"Call",
   IF(Table1[[#This Row],[BearScore]]&gt;Table1[[#This Row],[BullScore]],"Put","Avoid")
)</f>
        <v>Avoid</v>
      </c>
      <c r="L94">
        <f>MAX(Table1[[#This Row],[BullScore]],Table1[[#This Row],[BearScore]])</f>
        <v>0</v>
      </c>
      <c r="M94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95" spans="11:13" x14ac:dyDescent="0.25">
      <c r="K95" t="str">
        <f>IF(Table1[[#This Row],[BullScore]]&gt;Table1[[#This Row],[BearScore]],"Call",
   IF(Table1[[#This Row],[BearScore]]&gt;Table1[[#This Row],[BullScore]],"Put","Avoid")
)</f>
        <v>Avoid</v>
      </c>
      <c r="L95">
        <f>MAX(Table1[[#This Row],[BullScore]],Table1[[#This Row],[BearScore]])</f>
        <v>0</v>
      </c>
      <c r="M95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96" spans="11:13" x14ac:dyDescent="0.25">
      <c r="K96" t="str">
        <f>IF(Table1[[#This Row],[BullScore]]&gt;Table1[[#This Row],[BearScore]],"Call",
   IF(Table1[[#This Row],[BearScore]]&gt;Table1[[#This Row],[BullScore]],"Put","Avoid")
)</f>
        <v>Avoid</v>
      </c>
      <c r="L96">
        <f>MAX(Table1[[#This Row],[BullScore]],Table1[[#This Row],[BearScore]])</f>
        <v>0</v>
      </c>
      <c r="M96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97" spans="11:13" x14ac:dyDescent="0.25">
      <c r="K97" t="str">
        <f>IF(Table1[[#This Row],[BullScore]]&gt;Table1[[#This Row],[BearScore]],"Call",
   IF(Table1[[#This Row],[BearScore]]&gt;Table1[[#This Row],[BullScore]],"Put","Avoid")
)</f>
        <v>Avoid</v>
      </c>
      <c r="L97">
        <f>MAX(Table1[[#This Row],[BullScore]],Table1[[#This Row],[BearScore]])</f>
        <v>0</v>
      </c>
      <c r="M97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98" spans="11:13" x14ac:dyDescent="0.25">
      <c r="K98" t="str">
        <f>IF(Table1[[#This Row],[BullScore]]&gt;Table1[[#This Row],[BearScore]],"Call",
   IF(Table1[[#This Row],[BearScore]]&gt;Table1[[#This Row],[BullScore]],"Put","Avoid")
)</f>
        <v>Avoid</v>
      </c>
      <c r="L98">
        <f>MAX(Table1[[#This Row],[BullScore]],Table1[[#This Row],[BearScore]])</f>
        <v>0</v>
      </c>
      <c r="M98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99" spans="11:13" x14ac:dyDescent="0.25">
      <c r="K99" t="str">
        <f>IF(Table1[[#This Row],[BullScore]]&gt;Table1[[#This Row],[BearScore]],"Call",
   IF(Table1[[#This Row],[BearScore]]&gt;Table1[[#This Row],[BullScore]],"Put","Avoid")
)</f>
        <v>Avoid</v>
      </c>
      <c r="L99">
        <f>MAX(Table1[[#This Row],[BullScore]],Table1[[#This Row],[BearScore]])</f>
        <v>0</v>
      </c>
      <c r="M99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00" spans="11:13" x14ac:dyDescent="0.25">
      <c r="K100" t="str">
        <f>IF(Table1[[#This Row],[BullScore]]&gt;Table1[[#This Row],[BearScore]],"Call",
   IF(Table1[[#This Row],[BearScore]]&gt;Table1[[#This Row],[BullScore]],"Put","Avoid")
)</f>
        <v>Avoid</v>
      </c>
      <c r="L100">
        <f>MAX(Table1[[#This Row],[BullScore]],Table1[[#This Row],[BearScore]])</f>
        <v>0</v>
      </c>
      <c r="M100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01" spans="11:13" x14ac:dyDescent="0.25">
      <c r="K101" t="str">
        <f>IF(Table1[[#This Row],[BullScore]]&gt;Table1[[#This Row],[BearScore]],"Call",
   IF(Table1[[#This Row],[BearScore]]&gt;Table1[[#This Row],[BullScore]],"Put","Avoid")
)</f>
        <v>Avoid</v>
      </c>
      <c r="L101">
        <f>MAX(Table1[[#This Row],[BullScore]],Table1[[#This Row],[BearScore]])</f>
        <v>0</v>
      </c>
      <c r="M101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02" spans="11:13" x14ac:dyDescent="0.25">
      <c r="K102" t="str">
        <f>IF(Table1[[#This Row],[BullScore]]&gt;Table1[[#This Row],[BearScore]],"Call",
   IF(Table1[[#This Row],[BearScore]]&gt;Table1[[#This Row],[BullScore]],"Put","Avoid")
)</f>
        <v>Avoid</v>
      </c>
      <c r="L102">
        <f>MAX(Table1[[#This Row],[BullScore]],Table1[[#This Row],[BearScore]])</f>
        <v>0</v>
      </c>
      <c r="M102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03" spans="11:13" x14ac:dyDescent="0.25">
      <c r="K103" t="str">
        <f>IF(Table1[[#This Row],[BullScore]]&gt;Table1[[#This Row],[BearScore]],"Call",
   IF(Table1[[#This Row],[BearScore]]&gt;Table1[[#This Row],[BullScore]],"Put","Avoid")
)</f>
        <v>Avoid</v>
      </c>
      <c r="L103">
        <f>MAX(Table1[[#This Row],[BullScore]],Table1[[#This Row],[BearScore]])</f>
        <v>0</v>
      </c>
      <c r="M103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04" spans="11:13" x14ac:dyDescent="0.25">
      <c r="K104" t="str">
        <f>IF(Table1[[#This Row],[BullScore]]&gt;Table1[[#This Row],[BearScore]],"Call",
   IF(Table1[[#This Row],[BearScore]]&gt;Table1[[#This Row],[BullScore]],"Put","Avoid")
)</f>
        <v>Avoid</v>
      </c>
      <c r="L104">
        <f>MAX(Table1[[#This Row],[BullScore]],Table1[[#This Row],[BearScore]])</f>
        <v>0</v>
      </c>
      <c r="M104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05" spans="11:13" x14ac:dyDescent="0.25">
      <c r="K105" t="str">
        <f>IF(Table1[[#This Row],[BullScore]]&gt;Table1[[#This Row],[BearScore]],"Call",
   IF(Table1[[#This Row],[BearScore]]&gt;Table1[[#This Row],[BullScore]],"Put","Avoid")
)</f>
        <v>Avoid</v>
      </c>
      <c r="L105">
        <f>MAX(Table1[[#This Row],[BullScore]],Table1[[#This Row],[BearScore]])</f>
        <v>0</v>
      </c>
      <c r="M105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06" spans="11:13" x14ac:dyDescent="0.25">
      <c r="K106" t="str">
        <f>IF(Table1[[#This Row],[BullScore]]&gt;Table1[[#This Row],[BearScore]],"Call",
   IF(Table1[[#This Row],[BearScore]]&gt;Table1[[#This Row],[BullScore]],"Put","Avoid")
)</f>
        <v>Avoid</v>
      </c>
      <c r="L106">
        <f>MAX(Table1[[#This Row],[BullScore]],Table1[[#This Row],[BearScore]])</f>
        <v>0</v>
      </c>
      <c r="M106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07" spans="11:13" x14ac:dyDescent="0.25">
      <c r="K107" t="str">
        <f>IF(Table1[[#This Row],[BullScore]]&gt;Table1[[#This Row],[BearScore]],"Call",
   IF(Table1[[#This Row],[BearScore]]&gt;Table1[[#This Row],[BullScore]],"Put","Avoid")
)</f>
        <v>Avoid</v>
      </c>
      <c r="L107">
        <f>MAX(Table1[[#This Row],[BullScore]],Table1[[#This Row],[BearScore]])</f>
        <v>0</v>
      </c>
      <c r="M107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08" spans="11:13" x14ac:dyDescent="0.25">
      <c r="K108" t="str">
        <f>IF(Table1[[#This Row],[BullScore]]&gt;Table1[[#This Row],[BearScore]],"Call",
   IF(Table1[[#This Row],[BearScore]]&gt;Table1[[#This Row],[BullScore]],"Put","Avoid")
)</f>
        <v>Avoid</v>
      </c>
      <c r="L108">
        <f>MAX(Table1[[#This Row],[BullScore]],Table1[[#This Row],[BearScore]])</f>
        <v>0</v>
      </c>
      <c r="M108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09" spans="11:13" x14ac:dyDescent="0.25">
      <c r="K109" t="str">
        <f>IF(Table1[[#This Row],[BullScore]]&gt;Table1[[#This Row],[BearScore]],"Call",
   IF(Table1[[#This Row],[BearScore]]&gt;Table1[[#This Row],[BullScore]],"Put","Avoid")
)</f>
        <v>Avoid</v>
      </c>
      <c r="L109">
        <f>MAX(Table1[[#This Row],[BullScore]],Table1[[#This Row],[BearScore]])</f>
        <v>0</v>
      </c>
      <c r="M109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10" spans="11:13" x14ac:dyDescent="0.25">
      <c r="K110" t="str">
        <f>IF(Table1[[#This Row],[BullScore]]&gt;Table1[[#This Row],[BearScore]],"Call",
   IF(Table1[[#This Row],[BearScore]]&gt;Table1[[#This Row],[BullScore]],"Put","Avoid")
)</f>
        <v>Avoid</v>
      </c>
      <c r="L110">
        <f>MAX(Table1[[#This Row],[BullScore]],Table1[[#This Row],[BearScore]])</f>
        <v>0</v>
      </c>
      <c r="M110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11" spans="11:13" x14ac:dyDescent="0.25">
      <c r="K111" t="str">
        <f>IF(Table1[[#This Row],[BullScore]]&gt;Table1[[#This Row],[BearScore]],"Call",
   IF(Table1[[#This Row],[BearScore]]&gt;Table1[[#This Row],[BullScore]],"Put","Avoid")
)</f>
        <v>Avoid</v>
      </c>
      <c r="L111">
        <f>MAX(Table1[[#This Row],[BullScore]],Table1[[#This Row],[BearScore]])</f>
        <v>0</v>
      </c>
      <c r="M111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12" spans="11:13" x14ac:dyDescent="0.25">
      <c r="K112" t="str">
        <f>IF(Table1[[#This Row],[BullScore]]&gt;Table1[[#This Row],[BearScore]],"Call",
   IF(Table1[[#This Row],[BearScore]]&gt;Table1[[#This Row],[BullScore]],"Put","Avoid")
)</f>
        <v>Avoid</v>
      </c>
      <c r="L112">
        <f>MAX(Table1[[#This Row],[BullScore]],Table1[[#This Row],[BearScore]])</f>
        <v>0</v>
      </c>
      <c r="M112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13" spans="11:13" x14ac:dyDescent="0.25">
      <c r="K113" t="str">
        <f>IF(Table1[[#This Row],[BullScore]]&gt;Table1[[#This Row],[BearScore]],"Call",
   IF(Table1[[#This Row],[BearScore]]&gt;Table1[[#This Row],[BullScore]],"Put","Avoid")
)</f>
        <v>Avoid</v>
      </c>
      <c r="L113">
        <f>MAX(Table1[[#This Row],[BullScore]],Table1[[#This Row],[BearScore]])</f>
        <v>0</v>
      </c>
      <c r="M113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14" spans="11:13" x14ac:dyDescent="0.25">
      <c r="K114" t="str">
        <f>IF(Table1[[#This Row],[BullScore]]&gt;Table1[[#This Row],[BearScore]],"Call",
   IF(Table1[[#This Row],[BearScore]]&gt;Table1[[#This Row],[BullScore]],"Put","Avoid")
)</f>
        <v>Avoid</v>
      </c>
      <c r="L114">
        <f>MAX(Table1[[#This Row],[BullScore]],Table1[[#This Row],[BearScore]])</f>
        <v>0</v>
      </c>
      <c r="M114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15" spans="11:13" x14ac:dyDescent="0.25">
      <c r="K115" t="str">
        <f>IF(Table1[[#This Row],[BullScore]]&gt;Table1[[#This Row],[BearScore]],"Call",
   IF(Table1[[#This Row],[BearScore]]&gt;Table1[[#This Row],[BullScore]],"Put","Avoid")
)</f>
        <v>Avoid</v>
      </c>
      <c r="L115">
        <f>MAX(Table1[[#This Row],[BullScore]],Table1[[#This Row],[BearScore]])</f>
        <v>0</v>
      </c>
      <c r="M115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16" spans="11:13" x14ac:dyDescent="0.25">
      <c r="K116" t="str">
        <f>IF(Table1[[#This Row],[BullScore]]&gt;Table1[[#This Row],[BearScore]],"Call",
   IF(Table1[[#This Row],[BearScore]]&gt;Table1[[#This Row],[BullScore]],"Put","Avoid")
)</f>
        <v>Avoid</v>
      </c>
      <c r="L116">
        <f>MAX(Table1[[#This Row],[BullScore]],Table1[[#This Row],[BearScore]])</f>
        <v>0</v>
      </c>
      <c r="M116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17" spans="11:13" x14ac:dyDescent="0.25">
      <c r="K117" t="str">
        <f>IF(Table1[[#This Row],[BullScore]]&gt;Table1[[#This Row],[BearScore]],"Call",
   IF(Table1[[#This Row],[BearScore]]&gt;Table1[[#This Row],[BullScore]],"Put","Avoid")
)</f>
        <v>Avoid</v>
      </c>
      <c r="L117">
        <f>MAX(Table1[[#This Row],[BullScore]],Table1[[#This Row],[BearScore]])</f>
        <v>0</v>
      </c>
      <c r="M117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18" spans="11:13" x14ac:dyDescent="0.25">
      <c r="K118" t="str">
        <f>IF(Table1[[#This Row],[BullScore]]&gt;Table1[[#This Row],[BearScore]],"Call",
   IF(Table1[[#This Row],[BearScore]]&gt;Table1[[#This Row],[BullScore]],"Put","Avoid")
)</f>
        <v>Avoid</v>
      </c>
      <c r="L118">
        <f>MAX(Table1[[#This Row],[BullScore]],Table1[[#This Row],[BearScore]])</f>
        <v>0</v>
      </c>
      <c r="M118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19" spans="11:13" x14ac:dyDescent="0.25">
      <c r="K119" t="str">
        <f>IF(Table1[[#This Row],[BullScore]]&gt;Table1[[#This Row],[BearScore]],"Call",
   IF(Table1[[#This Row],[BearScore]]&gt;Table1[[#This Row],[BullScore]],"Put","Avoid")
)</f>
        <v>Avoid</v>
      </c>
      <c r="L119">
        <f>MAX(Table1[[#This Row],[BullScore]],Table1[[#This Row],[BearScore]])</f>
        <v>0</v>
      </c>
      <c r="M119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20" spans="11:13" x14ac:dyDescent="0.25">
      <c r="K120" t="str">
        <f>IF(Table1[[#This Row],[BullScore]]&gt;Table1[[#This Row],[BearScore]],"Call",
   IF(Table1[[#This Row],[BearScore]]&gt;Table1[[#This Row],[BullScore]],"Put","Avoid")
)</f>
        <v>Avoid</v>
      </c>
      <c r="L120">
        <f>MAX(Table1[[#This Row],[BullScore]],Table1[[#This Row],[BearScore]])</f>
        <v>0</v>
      </c>
      <c r="M120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21" spans="11:13" x14ac:dyDescent="0.25">
      <c r="K121" t="str">
        <f>IF(Table1[[#This Row],[BullScore]]&gt;Table1[[#This Row],[BearScore]],"Call",
   IF(Table1[[#This Row],[BearScore]]&gt;Table1[[#This Row],[BullScore]],"Put","Avoid")
)</f>
        <v>Avoid</v>
      </c>
      <c r="L121">
        <f>MAX(Table1[[#This Row],[BullScore]],Table1[[#This Row],[BearScore]])</f>
        <v>0</v>
      </c>
      <c r="M121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22" spans="11:13" x14ac:dyDescent="0.25">
      <c r="K122" t="str">
        <f>IF(Table1[[#This Row],[BullScore]]&gt;Table1[[#This Row],[BearScore]],"Call",
   IF(Table1[[#This Row],[BearScore]]&gt;Table1[[#This Row],[BullScore]],"Put","Avoid")
)</f>
        <v>Avoid</v>
      </c>
      <c r="L122">
        <f>MAX(Table1[[#This Row],[BullScore]],Table1[[#This Row],[BearScore]])</f>
        <v>0</v>
      </c>
      <c r="M122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23" spans="11:13" x14ac:dyDescent="0.25">
      <c r="K123" t="str">
        <f>IF(Table1[[#This Row],[BullScore]]&gt;Table1[[#This Row],[BearScore]],"Call",
   IF(Table1[[#This Row],[BearScore]]&gt;Table1[[#This Row],[BullScore]],"Put","Avoid")
)</f>
        <v>Avoid</v>
      </c>
      <c r="L123">
        <f>MAX(Table1[[#This Row],[BullScore]],Table1[[#This Row],[BearScore]])</f>
        <v>0</v>
      </c>
      <c r="M123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24" spans="11:13" x14ac:dyDescent="0.25">
      <c r="K124" t="str">
        <f>IF(Table1[[#This Row],[BullScore]]&gt;Table1[[#This Row],[BearScore]],"Call",
   IF(Table1[[#This Row],[BearScore]]&gt;Table1[[#This Row],[BullScore]],"Put","Avoid")
)</f>
        <v>Avoid</v>
      </c>
      <c r="L124">
        <f>MAX(Table1[[#This Row],[BullScore]],Table1[[#This Row],[BearScore]])</f>
        <v>0</v>
      </c>
      <c r="M124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25" spans="11:13" x14ac:dyDescent="0.25">
      <c r="K125" t="str">
        <f>IF(Table1[[#This Row],[BullScore]]&gt;Table1[[#This Row],[BearScore]],"Call",
   IF(Table1[[#This Row],[BearScore]]&gt;Table1[[#This Row],[BullScore]],"Put","Avoid")
)</f>
        <v>Avoid</v>
      </c>
      <c r="L125">
        <f>MAX(Table1[[#This Row],[BullScore]],Table1[[#This Row],[BearScore]])</f>
        <v>0</v>
      </c>
      <c r="M125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26" spans="11:13" x14ac:dyDescent="0.25">
      <c r="K126" t="str">
        <f>IF(Table1[[#This Row],[BullScore]]&gt;Table1[[#This Row],[BearScore]],"Call",
   IF(Table1[[#This Row],[BearScore]]&gt;Table1[[#This Row],[BullScore]],"Put","Avoid")
)</f>
        <v>Avoid</v>
      </c>
      <c r="L126">
        <f>MAX(Table1[[#This Row],[BullScore]],Table1[[#This Row],[BearScore]])</f>
        <v>0</v>
      </c>
      <c r="M126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27" spans="11:13" x14ac:dyDescent="0.25">
      <c r="K127" t="str">
        <f>IF(Table1[[#This Row],[BullScore]]&gt;Table1[[#This Row],[BearScore]],"Call",
   IF(Table1[[#This Row],[BearScore]]&gt;Table1[[#This Row],[BullScore]],"Put","Avoid")
)</f>
        <v>Avoid</v>
      </c>
      <c r="L127">
        <f>MAX(Table1[[#This Row],[BullScore]],Table1[[#This Row],[BearScore]])</f>
        <v>0</v>
      </c>
      <c r="M127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28" spans="11:13" x14ac:dyDescent="0.25">
      <c r="K128" t="str">
        <f>IF(Table1[[#This Row],[BullScore]]&gt;Table1[[#This Row],[BearScore]],"Call",
   IF(Table1[[#This Row],[BearScore]]&gt;Table1[[#This Row],[BullScore]],"Put","Avoid")
)</f>
        <v>Avoid</v>
      </c>
      <c r="L128">
        <f>MAX(Table1[[#This Row],[BullScore]],Table1[[#This Row],[BearScore]])</f>
        <v>0</v>
      </c>
      <c r="M128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29" spans="11:13" x14ac:dyDescent="0.25">
      <c r="K129" t="str">
        <f>IF(Table1[[#This Row],[BullScore]]&gt;Table1[[#This Row],[BearScore]],"Call",
   IF(Table1[[#This Row],[BearScore]]&gt;Table1[[#This Row],[BullScore]],"Put","Avoid")
)</f>
        <v>Avoid</v>
      </c>
      <c r="L129">
        <f>MAX(Table1[[#This Row],[BullScore]],Table1[[#This Row],[BearScore]])</f>
        <v>0</v>
      </c>
      <c r="M129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30" spans="11:13" x14ac:dyDescent="0.25">
      <c r="K130" t="str">
        <f>IF(Table1[[#This Row],[BullScore]]&gt;Table1[[#This Row],[BearScore]],"Call",
   IF(Table1[[#This Row],[BearScore]]&gt;Table1[[#This Row],[BullScore]],"Put","Avoid")
)</f>
        <v>Avoid</v>
      </c>
      <c r="L130">
        <f>MAX(Table1[[#This Row],[BullScore]],Table1[[#This Row],[BearScore]])</f>
        <v>0</v>
      </c>
      <c r="M130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31" spans="11:13" x14ac:dyDescent="0.25">
      <c r="K131" t="str">
        <f>IF(Table1[[#This Row],[BullScore]]&gt;Table1[[#This Row],[BearScore]],"Call",
   IF(Table1[[#This Row],[BearScore]]&gt;Table1[[#This Row],[BullScore]],"Put","Avoid")
)</f>
        <v>Avoid</v>
      </c>
      <c r="L131">
        <f>MAX(Table1[[#This Row],[BullScore]],Table1[[#This Row],[BearScore]])</f>
        <v>0</v>
      </c>
      <c r="M131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32" spans="11:13" x14ac:dyDescent="0.25">
      <c r="K132" t="str">
        <f>IF(Table1[[#This Row],[BullScore]]&gt;Table1[[#This Row],[BearScore]],"Call",
   IF(Table1[[#This Row],[BearScore]]&gt;Table1[[#This Row],[BullScore]],"Put","Avoid")
)</f>
        <v>Avoid</v>
      </c>
      <c r="L132">
        <f>MAX(Table1[[#This Row],[BullScore]],Table1[[#This Row],[BearScore]])</f>
        <v>0</v>
      </c>
      <c r="M132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33" spans="11:13" x14ac:dyDescent="0.25">
      <c r="K133" t="str">
        <f>IF(Table1[[#This Row],[BullScore]]&gt;Table1[[#This Row],[BearScore]],"Call",
   IF(Table1[[#This Row],[BearScore]]&gt;Table1[[#This Row],[BullScore]],"Put","Avoid")
)</f>
        <v>Avoid</v>
      </c>
      <c r="L133">
        <f>MAX(Table1[[#This Row],[BullScore]],Table1[[#This Row],[BearScore]])</f>
        <v>0</v>
      </c>
      <c r="M133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34" spans="11:13" x14ac:dyDescent="0.25">
      <c r="K134" t="str">
        <f>IF(Table1[[#This Row],[BullScore]]&gt;Table1[[#This Row],[BearScore]],"Call",
   IF(Table1[[#This Row],[BearScore]]&gt;Table1[[#This Row],[BullScore]],"Put","Avoid")
)</f>
        <v>Avoid</v>
      </c>
      <c r="L134">
        <f>MAX(Table1[[#This Row],[BullScore]],Table1[[#This Row],[BearScore]])</f>
        <v>0</v>
      </c>
      <c r="M134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35" spans="11:13" x14ac:dyDescent="0.25">
      <c r="K135" t="str">
        <f>IF(Table1[[#This Row],[BullScore]]&gt;Table1[[#This Row],[BearScore]],"Call",
   IF(Table1[[#This Row],[BearScore]]&gt;Table1[[#This Row],[BullScore]],"Put","Avoid")
)</f>
        <v>Avoid</v>
      </c>
      <c r="L135">
        <f>MAX(Table1[[#This Row],[BullScore]],Table1[[#This Row],[BearScore]])</f>
        <v>0</v>
      </c>
      <c r="M135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36" spans="11:13" x14ac:dyDescent="0.25">
      <c r="K136" t="str">
        <f>IF(Table1[[#This Row],[BullScore]]&gt;Table1[[#This Row],[BearScore]],"Call",
   IF(Table1[[#This Row],[BearScore]]&gt;Table1[[#This Row],[BullScore]],"Put","Avoid")
)</f>
        <v>Avoid</v>
      </c>
      <c r="L136">
        <f>MAX(Table1[[#This Row],[BullScore]],Table1[[#This Row],[BearScore]])</f>
        <v>0</v>
      </c>
      <c r="M136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37" spans="11:13" x14ac:dyDescent="0.25">
      <c r="K137" t="str">
        <f>IF(Table1[[#This Row],[BullScore]]&gt;Table1[[#This Row],[BearScore]],"Call",
   IF(Table1[[#This Row],[BearScore]]&gt;Table1[[#This Row],[BullScore]],"Put","Avoid")
)</f>
        <v>Avoid</v>
      </c>
      <c r="L137">
        <f>MAX(Table1[[#This Row],[BullScore]],Table1[[#This Row],[BearScore]])</f>
        <v>0</v>
      </c>
      <c r="M137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38" spans="11:13" x14ac:dyDescent="0.25">
      <c r="K138" t="str">
        <f>IF(Table1[[#This Row],[BullScore]]&gt;Table1[[#This Row],[BearScore]],"Call",
   IF(Table1[[#This Row],[BearScore]]&gt;Table1[[#This Row],[BullScore]],"Put","Avoid")
)</f>
        <v>Avoid</v>
      </c>
      <c r="L138">
        <f>MAX(Table1[[#This Row],[BullScore]],Table1[[#This Row],[BearScore]])</f>
        <v>0</v>
      </c>
      <c r="M138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39" spans="11:13" x14ac:dyDescent="0.25">
      <c r="K139" t="str">
        <f>IF(Table1[[#This Row],[BullScore]]&gt;Table1[[#This Row],[BearScore]],"Call",
   IF(Table1[[#This Row],[BearScore]]&gt;Table1[[#This Row],[BullScore]],"Put","Avoid")
)</f>
        <v>Avoid</v>
      </c>
      <c r="L139">
        <f>MAX(Table1[[#This Row],[BullScore]],Table1[[#This Row],[BearScore]])</f>
        <v>0</v>
      </c>
      <c r="M139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40" spans="11:13" x14ac:dyDescent="0.25">
      <c r="K140" t="str">
        <f>IF(Table1[[#This Row],[BullScore]]&gt;Table1[[#This Row],[BearScore]],"Call",
   IF(Table1[[#This Row],[BearScore]]&gt;Table1[[#This Row],[BullScore]],"Put","Avoid")
)</f>
        <v>Avoid</v>
      </c>
      <c r="L140">
        <f>MAX(Table1[[#This Row],[BullScore]],Table1[[#This Row],[BearScore]])</f>
        <v>0</v>
      </c>
      <c r="M140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41" spans="11:13" x14ac:dyDescent="0.25">
      <c r="K141" t="str">
        <f>IF(Table1[[#This Row],[BullScore]]&gt;Table1[[#This Row],[BearScore]],"Call",
   IF(Table1[[#This Row],[BearScore]]&gt;Table1[[#This Row],[BullScore]],"Put","Avoid")
)</f>
        <v>Avoid</v>
      </c>
      <c r="L141">
        <f>MAX(Table1[[#This Row],[BullScore]],Table1[[#This Row],[BearScore]])</f>
        <v>0</v>
      </c>
      <c r="M141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42" spans="11:13" x14ac:dyDescent="0.25">
      <c r="K142" t="str">
        <f>IF(Table1[[#This Row],[BullScore]]&gt;Table1[[#This Row],[BearScore]],"Call",
   IF(Table1[[#This Row],[BearScore]]&gt;Table1[[#This Row],[BullScore]],"Put","Avoid")
)</f>
        <v>Avoid</v>
      </c>
      <c r="L142">
        <f>MAX(Table1[[#This Row],[BullScore]],Table1[[#This Row],[BearScore]])</f>
        <v>0</v>
      </c>
      <c r="M142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43" spans="11:13" x14ac:dyDescent="0.25">
      <c r="K143" t="str">
        <f>IF(Table1[[#This Row],[BullScore]]&gt;Table1[[#This Row],[BearScore]],"Call",
   IF(Table1[[#This Row],[BearScore]]&gt;Table1[[#This Row],[BullScore]],"Put","Avoid")
)</f>
        <v>Avoid</v>
      </c>
      <c r="L143">
        <f>MAX(Table1[[#This Row],[BullScore]],Table1[[#This Row],[BearScore]])</f>
        <v>0</v>
      </c>
      <c r="M143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44" spans="11:13" x14ac:dyDescent="0.25">
      <c r="K144" t="str">
        <f>IF(Table1[[#This Row],[BullScore]]&gt;Table1[[#This Row],[BearScore]],"Call",
   IF(Table1[[#This Row],[BearScore]]&gt;Table1[[#This Row],[BullScore]],"Put","Avoid")
)</f>
        <v>Avoid</v>
      </c>
      <c r="L144">
        <f>MAX(Table1[[#This Row],[BullScore]],Table1[[#This Row],[BearScore]])</f>
        <v>0</v>
      </c>
      <c r="M144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45" spans="11:13" x14ac:dyDescent="0.25">
      <c r="K145" t="str">
        <f>IF(Table1[[#This Row],[BullScore]]&gt;Table1[[#This Row],[BearScore]],"Call",
   IF(Table1[[#This Row],[BearScore]]&gt;Table1[[#This Row],[BullScore]],"Put","Avoid")
)</f>
        <v>Avoid</v>
      </c>
      <c r="L145">
        <f>MAX(Table1[[#This Row],[BullScore]],Table1[[#This Row],[BearScore]])</f>
        <v>0</v>
      </c>
      <c r="M145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46" spans="11:13" x14ac:dyDescent="0.25">
      <c r="K146" t="str">
        <f>IF(Table1[[#This Row],[BullScore]]&gt;Table1[[#This Row],[BearScore]],"Call",
   IF(Table1[[#This Row],[BearScore]]&gt;Table1[[#This Row],[BullScore]],"Put","Avoid")
)</f>
        <v>Avoid</v>
      </c>
      <c r="L146">
        <f>MAX(Table1[[#This Row],[BullScore]],Table1[[#This Row],[BearScore]])</f>
        <v>0</v>
      </c>
      <c r="M146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47" spans="11:13" x14ac:dyDescent="0.25">
      <c r="K147" t="str">
        <f>IF(Table1[[#This Row],[BullScore]]&gt;Table1[[#This Row],[BearScore]],"Call",
   IF(Table1[[#This Row],[BearScore]]&gt;Table1[[#This Row],[BullScore]],"Put","Avoid")
)</f>
        <v>Avoid</v>
      </c>
      <c r="L147">
        <f>MAX(Table1[[#This Row],[BullScore]],Table1[[#This Row],[BearScore]])</f>
        <v>0</v>
      </c>
      <c r="M147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48" spans="11:13" x14ac:dyDescent="0.25">
      <c r="K148" t="str">
        <f>IF(Table1[[#This Row],[BullScore]]&gt;Table1[[#This Row],[BearScore]],"Call",
   IF(Table1[[#This Row],[BearScore]]&gt;Table1[[#This Row],[BullScore]],"Put","Avoid")
)</f>
        <v>Avoid</v>
      </c>
      <c r="L148">
        <f>MAX(Table1[[#This Row],[BullScore]],Table1[[#This Row],[BearScore]])</f>
        <v>0</v>
      </c>
      <c r="M148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49" spans="11:13" x14ac:dyDescent="0.25">
      <c r="K149" t="str">
        <f>IF(Table1[[#This Row],[BullScore]]&gt;Table1[[#This Row],[BearScore]],"Call",
   IF(Table1[[#This Row],[BearScore]]&gt;Table1[[#This Row],[BullScore]],"Put","Avoid")
)</f>
        <v>Avoid</v>
      </c>
      <c r="L149">
        <f>MAX(Table1[[#This Row],[BullScore]],Table1[[#This Row],[BearScore]])</f>
        <v>0</v>
      </c>
      <c r="M149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50" spans="11:13" x14ac:dyDescent="0.25">
      <c r="K150" t="str">
        <f>IF(Table1[[#This Row],[BullScore]]&gt;Table1[[#This Row],[BearScore]],"Call",
   IF(Table1[[#This Row],[BearScore]]&gt;Table1[[#This Row],[BullScore]],"Put","Avoid")
)</f>
        <v>Avoid</v>
      </c>
      <c r="L150">
        <f>MAX(Table1[[#This Row],[BullScore]],Table1[[#This Row],[BearScore]])</f>
        <v>0</v>
      </c>
      <c r="M150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51" spans="11:13" x14ac:dyDescent="0.25">
      <c r="K151" t="str">
        <f>IF(Table1[[#This Row],[BullScore]]&gt;Table1[[#This Row],[BearScore]],"Call",
   IF(Table1[[#This Row],[BearScore]]&gt;Table1[[#This Row],[BullScore]],"Put","Avoid")
)</f>
        <v>Avoid</v>
      </c>
      <c r="L151">
        <f>MAX(Table1[[#This Row],[BullScore]],Table1[[#This Row],[BearScore]])</f>
        <v>0</v>
      </c>
      <c r="M151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52" spans="11:13" x14ac:dyDescent="0.25">
      <c r="K152" t="str">
        <f>IF(Table1[[#This Row],[BullScore]]&gt;Table1[[#This Row],[BearScore]],"Call",
   IF(Table1[[#This Row],[BearScore]]&gt;Table1[[#This Row],[BullScore]],"Put","Avoid")
)</f>
        <v>Avoid</v>
      </c>
      <c r="L152">
        <f>MAX(Table1[[#This Row],[BullScore]],Table1[[#This Row],[BearScore]])</f>
        <v>0</v>
      </c>
      <c r="M152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53" spans="11:13" x14ac:dyDescent="0.25">
      <c r="K153" t="str">
        <f>IF(Table1[[#This Row],[BullScore]]&gt;Table1[[#This Row],[BearScore]],"Call",
   IF(Table1[[#This Row],[BearScore]]&gt;Table1[[#This Row],[BullScore]],"Put","Avoid")
)</f>
        <v>Avoid</v>
      </c>
      <c r="L153">
        <f>MAX(Table1[[#This Row],[BullScore]],Table1[[#This Row],[BearScore]])</f>
        <v>0</v>
      </c>
      <c r="M153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  <row r="154" spans="11:13" x14ac:dyDescent="0.25">
      <c r="K154" t="str">
        <f>IF(Table1[[#This Row],[BullScore]]&gt;Table1[[#This Row],[BearScore]],"Call",
   IF(Table1[[#This Row],[BearScore]]&gt;Table1[[#This Row],[BullScore]],"Put","Avoid")
)</f>
        <v>Avoid</v>
      </c>
      <c r="L154">
        <f>MAX(Table1[[#This Row],[BullScore]],Table1[[#This Row],[BearScore]])</f>
        <v>0</v>
      </c>
      <c r="M154" t="str">
        <f>IF(Table1[[#This Row],[TradeBias]]="","",
   "Regime: "&amp;Table1[[#This Row],[GammaRegime]]&amp;
   " | Delta: "&amp;Table1[[#This Row],[DeltaLean]]&amp;
   " | Vanna: "&amp;Table1[[#This Row],[VannaBias]]&amp;
   " | Charm: "&amp;Table1[[#This Row],[CharmBias]]&amp;
   IF(Table1[[#This Row],[CallWallFlag]]&lt;&gt;""," | "&amp;Table1[[#This Row],[CallWallFlag]],"")&amp;
   IF(Table1[[#This Row],[PutWallFlag]]&lt;&gt;""," | "&amp;Table1[[#This Row],[PutWallFlag]],"")&amp;
   " | Flip: "&amp;Table1[[#This Row],[FlipFlag]]
)</f>
        <v xml:space="preserve">Regime:  | Delta:  | Vanna:  | Charm:  | Flip: 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364C-32C0-4AA6-9761-FB99FECEAF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RawData</vt:lpstr>
      <vt:lpstr>LogicEngine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Pointek</dc:creator>
  <cp:lastModifiedBy>Michael Pointek</cp:lastModifiedBy>
  <dcterms:created xsi:type="dcterms:W3CDTF">2026-05-22T20:29:23Z</dcterms:created>
  <dcterms:modified xsi:type="dcterms:W3CDTF">2026-05-25T17:19:15Z</dcterms:modified>
</cp:coreProperties>
</file>