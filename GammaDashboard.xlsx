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11701ea9f27640/Documents/GitHub/Options_Gamma_Screener/"/>
    </mc:Choice>
  </mc:AlternateContent>
  <xr:revisionPtr revIDLastSave="254" documentId="8_{9EB4AE56-320E-4E98-AE3D-33B94FCCB994}" xr6:coauthVersionLast="47" xr6:coauthVersionMax="47" xr10:uidLastSave="{24BFEE23-7A45-4EE0-B84E-7A7F426C0292}"/>
  <bookViews>
    <workbookView xWindow="-120" yWindow="-120" windowWidth="38640" windowHeight="15720" activeTab="1" xr2:uid="{F32BFD2D-F4C7-4991-BB67-199267CF7C3E}"/>
  </bookViews>
  <sheets>
    <sheet name="Universe" sheetId="4" r:id="rId1"/>
    <sheet name="RawData" sheetId="1" r:id="rId2"/>
    <sheet name="LogicEngine" sheetId="2" r:id="rId3"/>
    <sheet name="Dashboard" sheetId="3" r:id="rId4"/>
  </sheets>
  <definedNames>
    <definedName name="ExternalData_1" localSheetId="1" hidden="1">RawData!$A$1:$Y$61</definedName>
    <definedName name="NearKeyWalls">Dashboard!$N$17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2" l="1"/>
  <c r="L62" i="2"/>
  <c r="K62" i="2"/>
  <c r="G2" i="2"/>
  <c r="F2" i="2"/>
  <c r="D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B2" i="2"/>
  <c r="C2" i="2" s="1"/>
  <c r="B3" i="2"/>
  <c r="B4" i="2"/>
  <c r="B5" i="2"/>
  <c r="B6" i="2"/>
  <c r="B7" i="2"/>
  <c r="B8" i="2"/>
  <c r="B9" i="2"/>
  <c r="C9" i="2" s="1"/>
  <c r="B10" i="2"/>
  <c r="B11" i="2"/>
  <c r="B12" i="2"/>
  <c r="B13" i="2"/>
  <c r="B14" i="2"/>
  <c r="B15" i="2"/>
  <c r="B16" i="2"/>
  <c r="B17" i="2"/>
  <c r="B18" i="2"/>
  <c r="B19" i="2"/>
  <c r="B20" i="2"/>
  <c r="B21" i="2"/>
  <c r="C21" i="2" s="1"/>
  <c r="B22" i="2"/>
  <c r="B23" i="2"/>
  <c r="B24" i="2"/>
  <c r="B25" i="2"/>
  <c r="B26" i="2"/>
  <c r="B27" i="2"/>
  <c r="B28" i="2"/>
  <c r="B29" i="2"/>
  <c r="B30" i="2"/>
  <c r="B31" i="2"/>
  <c r="B32" i="2"/>
  <c r="B33" i="2"/>
  <c r="C33" i="2" s="1"/>
  <c r="B34" i="2"/>
  <c r="B35" i="2"/>
  <c r="B36" i="2"/>
  <c r="B37" i="2"/>
  <c r="B38" i="2"/>
  <c r="B39" i="2"/>
  <c r="B40" i="2"/>
  <c r="B41" i="2"/>
  <c r="B42" i="2"/>
  <c r="B43" i="2"/>
  <c r="B44" i="2"/>
  <c r="B45" i="2"/>
  <c r="C45" i="2" s="1"/>
  <c r="B46" i="2"/>
  <c r="B47" i="2"/>
  <c r="B48" i="2"/>
  <c r="B49" i="2"/>
  <c r="B50" i="2"/>
  <c r="B51" i="2"/>
  <c r="B52" i="2"/>
  <c r="B53" i="2"/>
  <c r="B54" i="2"/>
  <c r="B55" i="2"/>
  <c r="B56" i="2"/>
  <c r="B57" i="2"/>
  <c r="C57" i="2" s="1"/>
  <c r="B58" i="2"/>
  <c r="B59" i="2"/>
  <c r="B60" i="2"/>
  <c r="B61" i="2"/>
  <c r="B62" i="2"/>
  <c r="B63" i="2"/>
  <c r="A2" i="2"/>
  <c r="A3" i="2"/>
  <c r="A4" i="2"/>
  <c r="A5" i="2"/>
  <c r="A6" i="2"/>
  <c r="A7" i="2"/>
  <c r="A8" i="2"/>
  <c r="A9" i="2"/>
  <c r="A10" i="2"/>
  <c r="A11" i="2"/>
  <c r="A12" i="2"/>
  <c r="A13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M6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O62" i="2" s="1"/>
  <c r="D63" i="2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C3" i="2"/>
  <c r="C4" i="2"/>
  <c r="C5" i="2"/>
  <c r="C6" i="2"/>
  <c r="C7" i="2"/>
  <c r="C8" i="2"/>
  <c r="C10" i="2"/>
  <c r="L10" i="2" s="1"/>
  <c r="C11" i="2"/>
  <c r="C12" i="2"/>
  <c r="C13" i="2"/>
  <c r="C14" i="2"/>
  <c r="C15" i="2"/>
  <c r="C16" i="2"/>
  <c r="C17" i="2"/>
  <c r="C18" i="2"/>
  <c r="C19" i="2"/>
  <c r="C20" i="2"/>
  <c r="C22" i="2"/>
  <c r="L22" i="2" s="1"/>
  <c r="C23" i="2"/>
  <c r="C24" i="2"/>
  <c r="C25" i="2"/>
  <c r="C26" i="2"/>
  <c r="C27" i="2"/>
  <c r="C28" i="2"/>
  <c r="C29" i="2"/>
  <c r="C30" i="2"/>
  <c r="C31" i="2"/>
  <c r="C32" i="2"/>
  <c r="C34" i="2"/>
  <c r="L34" i="2" s="1"/>
  <c r="C35" i="2"/>
  <c r="C36" i="2"/>
  <c r="C37" i="2"/>
  <c r="C38" i="2"/>
  <c r="C39" i="2"/>
  <c r="C40" i="2"/>
  <c r="C41" i="2"/>
  <c r="C42" i="2"/>
  <c r="C43" i="2"/>
  <c r="C44" i="2"/>
  <c r="C46" i="2"/>
  <c r="L46" i="2" s="1"/>
  <c r="C47" i="2"/>
  <c r="C48" i="2"/>
  <c r="C49" i="2"/>
  <c r="C50" i="2"/>
  <c r="C51" i="2"/>
  <c r="C52" i="2"/>
  <c r="C53" i="2"/>
  <c r="C54" i="2"/>
  <c r="C55" i="2"/>
  <c r="C56" i="2"/>
  <c r="C58" i="2"/>
  <c r="L58" i="2" s="1"/>
  <c r="C59" i="2"/>
  <c r="C60" i="2"/>
  <c r="C61" i="2"/>
  <c r="C62" i="2"/>
  <c r="C63" i="2"/>
  <c r="K15" i="2" l="1"/>
  <c r="K56" i="2"/>
  <c r="L59" i="2"/>
  <c r="L35" i="2"/>
  <c r="K33" i="2"/>
  <c r="L47" i="2"/>
  <c r="L23" i="2"/>
  <c r="L11" i="2"/>
  <c r="K57" i="2"/>
  <c r="N57" i="2" s="1"/>
  <c r="K45" i="2"/>
  <c r="K44" i="2"/>
  <c r="M44" i="2" s="1"/>
  <c r="O44" i="2" s="1"/>
  <c r="K32" i="2"/>
  <c r="M32" i="2" s="1"/>
  <c r="O32" i="2" s="1"/>
  <c r="K41" i="2"/>
  <c r="L41" i="2"/>
  <c r="L15" i="2"/>
  <c r="M15" i="2" s="1"/>
  <c r="O15" i="2" s="1"/>
  <c r="K59" i="2"/>
  <c r="K47" i="2"/>
  <c r="K35" i="2"/>
  <c r="K23" i="2"/>
  <c r="K11" i="2"/>
  <c r="N11" i="2" s="1"/>
  <c r="K58" i="2"/>
  <c r="N58" i="2" s="1"/>
  <c r="K46" i="2"/>
  <c r="M46" i="2" s="1"/>
  <c r="O46" i="2" s="1"/>
  <c r="K34" i="2"/>
  <c r="N34" i="2" s="1"/>
  <c r="K22" i="2"/>
  <c r="K10" i="2"/>
  <c r="K21" i="2"/>
  <c r="K9" i="2"/>
  <c r="L2" i="2"/>
  <c r="K20" i="2"/>
  <c r="K8" i="2"/>
  <c r="L55" i="2"/>
  <c r="L43" i="2"/>
  <c r="L31" i="2"/>
  <c r="L19" i="2"/>
  <c r="L7" i="2"/>
  <c r="M7" i="2" s="1"/>
  <c r="O7" i="2" s="1"/>
  <c r="L54" i="2"/>
  <c r="L42" i="2"/>
  <c r="L30" i="2"/>
  <c r="L18" i="2"/>
  <c r="L6" i="2"/>
  <c r="L53" i="2"/>
  <c r="L29" i="2"/>
  <c r="L17" i="2"/>
  <c r="L5" i="2"/>
  <c r="L52" i="2"/>
  <c r="L40" i="2"/>
  <c r="L28" i="2"/>
  <c r="L16" i="2"/>
  <c r="L4" i="2"/>
  <c r="L63" i="2"/>
  <c r="L51" i="2"/>
  <c r="L39" i="2"/>
  <c r="L27" i="2"/>
  <c r="L3" i="2"/>
  <c r="L50" i="2"/>
  <c r="L38" i="2"/>
  <c r="L26" i="2"/>
  <c r="L14" i="2"/>
  <c r="L61" i="2"/>
  <c r="M61" i="2" s="1"/>
  <c r="O61" i="2" s="1"/>
  <c r="L49" i="2"/>
  <c r="L37" i="2"/>
  <c r="L25" i="2"/>
  <c r="L13" i="2"/>
  <c r="L60" i="2"/>
  <c r="L48" i="2"/>
  <c r="L36" i="2"/>
  <c r="L24" i="2"/>
  <c r="L12" i="2"/>
  <c r="K55" i="2"/>
  <c r="M55" i="2" s="1"/>
  <c r="O55" i="2" s="1"/>
  <c r="K43" i="2"/>
  <c r="K31" i="2"/>
  <c r="N31" i="2" s="1"/>
  <c r="K19" i="2"/>
  <c r="K7" i="2"/>
  <c r="L57" i="2"/>
  <c r="L45" i="2"/>
  <c r="L33" i="2"/>
  <c r="M33" i="2" s="1"/>
  <c r="O33" i="2" s="1"/>
  <c r="L21" i="2"/>
  <c r="M21" i="2" s="1"/>
  <c r="O21" i="2" s="1"/>
  <c r="L9" i="2"/>
  <c r="M9" i="2" s="1"/>
  <c r="O9" i="2" s="1"/>
  <c r="K54" i="2"/>
  <c r="K42" i="2"/>
  <c r="N42" i="2" s="1"/>
  <c r="K30" i="2"/>
  <c r="M30" i="2" s="1"/>
  <c r="O30" i="2" s="1"/>
  <c r="K18" i="2"/>
  <c r="M18" i="2" s="1"/>
  <c r="O18" i="2" s="1"/>
  <c r="K6" i="2"/>
  <c r="N6" i="2" s="1"/>
  <c r="L56" i="2"/>
  <c r="M56" i="2" s="1"/>
  <c r="O56" i="2" s="1"/>
  <c r="L44" i="2"/>
  <c r="L32" i="2"/>
  <c r="L20" i="2"/>
  <c r="L8" i="2"/>
  <c r="K53" i="2"/>
  <c r="M53" i="2" s="1"/>
  <c r="O53" i="2" s="1"/>
  <c r="K29" i="2"/>
  <c r="M29" i="2" s="1"/>
  <c r="O29" i="2" s="1"/>
  <c r="K17" i="2"/>
  <c r="M17" i="2" s="1"/>
  <c r="O17" i="2" s="1"/>
  <c r="K5" i="2"/>
  <c r="N5" i="2" s="1"/>
  <c r="K52" i="2"/>
  <c r="M52" i="2" s="1"/>
  <c r="O52" i="2" s="1"/>
  <c r="K40" i="2"/>
  <c r="M40" i="2" s="1"/>
  <c r="O40" i="2" s="1"/>
  <c r="K28" i="2"/>
  <c r="M28" i="2" s="1"/>
  <c r="O28" i="2" s="1"/>
  <c r="K16" i="2"/>
  <c r="M16" i="2" s="1"/>
  <c r="O16" i="2" s="1"/>
  <c r="K4" i="2"/>
  <c r="M4" i="2" s="1"/>
  <c r="O4" i="2" s="1"/>
  <c r="K63" i="2"/>
  <c r="M63" i="2" s="1"/>
  <c r="O63" i="2" s="1"/>
  <c r="K51" i="2"/>
  <c r="K39" i="2"/>
  <c r="M39" i="2" s="1"/>
  <c r="O39" i="2" s="1"/>
  <c r="K27" i="2"/>
  <c r="K3" i="2"/>
  <c r="M3" i="2" s="1"/>
  <c r="O3" i="2" s="1"/>
  <c r="K50" i="2"/>
  <c r="M50" i="2" s="1"/>
  <c r="O50" i="2" s="1"/>
  <c r="K38" i="2"/>
  <c r="M38" i="2" s="1"/>
  <c r="O38" i="2" s="1"/>
  <c r="K26" i="2"/>
  <c r="M26" i="2" s="1"/>
  <c r="O26" i="2" s="1"/>
  <c r="K14" i="2"/>
  <c r="M14" i="2" s="1"/>
  <c r="O14" i="2" s="1"/>
  <c r="K2" i="2"/>
  <c r="M2" i="2" s="1"/>
  <c r="O2" i="2" s="1"/>
  <c r="K61" i="2"/>
  <c r="K49" i="2"/>
  <c r="K37" i="2"/>
  <c r="K25" i="2"/>
  <c r="K13" i="2"/>
  <c r="N13" i="2" s="1"/>
  <c r="K60" i="2"/>
  <c r="N60" i="2" s="1"/>
  <c r="K48" i="2"/>
  <c r="M48" i="2" s="1"/>
  <c r="O48" i="2" s="1"/>
  <c r="K36" i="2"/>
  <c r="N36" i="2" s="1"/>
  <c r="K24" i="2"/>
  <c r="M24" i="2" s="1"/>
  <c r="O24" i="2" s="1"/>
  <c r="K12" i="2"/>
  <c r="M12" i="2" s="1"/>
  <c r="O12" i="2" s="1"/>
  <c r="N4" i="2"/>
  <c r="M51" i="2"/>
  <c r="O51" i="2" s="1"/>
  <c r="M22" i="2"/>
  <c r="O22" i="2" s="1"/>
  <c r="M27" i="2"/>
  <c r="O27" i="2" s="1"/>
  <c r="M37" i="2"/>
  <c r="O37" i="2" s="1"/>
  <c r="M25" i="2"/>
  <c r="O25" i="2" s="1"/>
  <c r="M59" i="2"/>
  <c r="O59" i="2" s="1"/>
  <c r="M47" i="2"/>
  <c r="O47" i="2" s="1"/>
  <c r="M35" i="2"/>
  <c r="O35" i="2" s="1"/>
  <c r="M23" i="2"/>
  <c r="O23" i="2" s="1"/>
  <c r="M11" i="2"/>
  <c r="O11" i="2" s="1"/>
  <c r="M10" i="2"/>
  <c r="O10" i="2" s="1"/>
  <c r="M20" i="2"/>
  <c r="O20" i="2" s="1"/>
  <c r="J18" i="3" a="1"/>
  <c r="J18" i="3" s="1"/>
  <c r="N41" i="2"/>
  <c r="J15" i="3" a="1"/>
  <c r="J15" i="3" s="1"/>
  <c r="N61" i="2"/>
  <c r="N63" i="2"/>
  <c r="N15" i="2"/>
  <c r="N20" i="2"/>
  <c r="N8" i="2"/>
  <c r="N33" i="2"/>
  <c r="N29" i="2"/>
  <c r="J20" i="3" a="1"/>
  <c r="J20" i="3" s="1"/>
  <c r="J17" i="3" a="1"/>
  <c r="J17" i="3" s="1"/>
  <c r="N51" i="2"/>
  <c r="J16" i="3" a="1"/>
  <c r="J16" i="3" s="1"/>
  <c r="J19" i="3" a="1"/>
  <c r="J19" i="3" s="1"/>
  <c r="N22" i="2"/>
  <c r="N18" i="2"/>
  <c r="N10" i="2"/>
  <c r="N62" i="2"/>
  <c r="N59" i="2"/>
  <c r="N47" i="2"/>
  <c r="N35" i="2"/>
  <c r="N23" i="2"/>
  <c r="N49" i="2"/>
  <c r="N37" i="2"/>
  <c r="N25" i="2"/>
  <c r="N48" i="2" l="1"/>
  <c r="M49" i="2"/>
  <c r="O49" i="2" s="1"/>
  <c r="M57" i="2"/>
  <c r="O57" i="2" s="1"/>
  <c r="M43" i="2"/>
  <c r="O43" i="2" s="1"/>
  <c r="M19" i="2"/>
  <c r="O19" i="2" s="1"/>
  <c r="M45" i="2"/>
  <c r="O45" i="2" s="1"/>
  <c r="M54" i="2"/>
  <c r="O54" i="2" s="1"/>
  <c r="N55" i="2"/>
  <c r="N16" i="2"/>
  <c r="N38" i="2"/>
  <c r="M34" i="2"/>
  <c r="O34" i="2" s="1"/>
  <c r="N32" i="2"/>
  <c r="M58" i="2"/>
  <c r="O58" i="2" s="1"/>
  <c r="M5" i="2"/>
  <c r="O5" i="2" s="1"/>
  <c r="N14" i="2"/>
  <c r="M31" i="2"/>
  <c r="O31" i="2" s="1"/>
  <c r="N26" i="2"/>
  <c r="N43" i="2"/>
  <c r="M60" i="2"/>
  <c r="O60" i="2" s="1"/>
  <c r="M6" i="2"/>
  <c r="O6" i="2" s="1"/>
  <c r="N30" i="2"/>
  <c r="M8" i="2"/>
  <c r="O8" i="2" s="1"/>
  <c r="M13" i="2"/>
  <c r="O13" i="2" s="1"/>
  <c r="N3" i="2"/>
  <c r="N2" i="2"/>
  <c r="M41" i="2"/>
  <c r="O41" i="2" s="1"/>
  <c r="M42" i="2"/>
  <c r="O42" i="2" s="1"/>
  <c r="M36" i="2"/>
  <c r="O36" i="2" s="1"/>
  <c r="N54" i="2"/>
  <c r="N17" i="2"/>
  <c r="N9" i="2"/>
  <c r="N12" i="2"/>
  <c r="N19" i="2"/>
  <c r="N39" i="2"/>
  <c r="N46" i="2"/>
  <c r="N7" i="2"/>
  <c r="N56" i="2"/>
  <c r="N27" i="2"/>
  <c r="N53" i="2"/>
  <c r="N21" i="2"/>
  <c r="N50" i="2"/>
  <c r="N24" i="2"/>
  <c r="N45" i="2"/>
  <c r="N28" i="2"/>
  <c r="N44" i="2"/>
  <c r="N52" i="2"/>
  <c r="N40" i="2"/>
  <c r="A6" i="3" l="1" a="1"/>
  <c r="A6" i="3" s="1"/>
  <c r="A9" i="3" a="1"/>
  <c r="A9" i="3" s="1"/>
  <c r="J2" i="3" a="1"/>
  <c r="J2" i="3" s="1"/>
  <c r="A2" i="3" a="1"/>
  <c r="A2" i="3" s="1"/>
  <c r="J7" i="3" a="1"/>
  <c r="J7" i="3" s="1"/>
  <c r="J5" i="3" a="1"/>
  <c r="J5" i="3" s="1"/>
  <c r="J9" i="3" a="1"/>
  <c r="J9" i="3" s="1"/>
  <c r="J4" i="3" a="1"/>
  <c r="J4" i="3" s="1"/>
  <c r="J10" i="3" a="1"/>
  <c r="J10" i="3" s="1"/>
  <c r="A3" i="3" a="1"/>
  <c r="A3" i="3" s="1"/>
  <c r="J8" i="3" a="1"/>
  <c r="J8" i="3" s="1"/>
  <c r="A8" i="3" a="1"/>
  <c r="A8" i="3" s="1"/>
  <c r="A7" i="3" a="1"/>
  <c r="A7" i="3" s="1"/>
  <c r="J6" i="3" a="1"/>
  <c r="J6" i="3" s="1"/>
  <c r="A30" i="3" a="1"/>
  <c r="A30" i="3" s="1"/>
  <c r="J32" i="3" a="1"/>
  <c r="J32" i="3" s="1"/>
  <c r="J28" i="3" a="1"/>
  <c r="J28" i="3" s="1"/>
  <c r="A11" i="3" a="1"/>
  <c r="A11" i="3" s="1"/>
  <c r="A10" i="3" a="1"/>
  <c r="A10" i="3" s="1"/>
  <c r="A4" i="3" a="1"/>
  <c r="A4" i="3" s="1"/>
  <c r="A5" i="3" a="1"/>
  <c r="A5" i="3" s="1"/>
  <c r="J11" i="3" a="1"/>
  <c r="J11" i="3" s="1"/>
  <c r="J3" i="3" a="1"/>
  <c r="J3" i="3" s="1"/>
  <c r="J33" i="3" l="1" a="1"/>
  <c r="J33" i="3" s="1"/>
  <c r="A32" i="3" a="1"/>
  <c r="A32" i="3" s="1"/>
  <c r="A33" i="3" a="1"/>
  <c r="A33" i="3" s="1"/>
  <c r="J30" i="3" a="1"/>
  <c r="J30" i="3" s="1"/>
  <c r="A31" i="3" a="1"/>
  <c r="A31" i="3" s="1"/>
  <c r="A28" i="3" a="1"/>
  <c r="A28" i="3" s="1"/>
  <c r="A29" i="3" a="1"/>
  <c r="A29" i="3" s="1"/>
  <c r="J29" i="3" a="1"/>
  <c r="J29" i="3" s="1"/>
  <c r="J31" i="3" a="1"/>
  <c r="J31" i="3" s="1"/>
  <c r="A57" i="3" a="1"/>
  <c r="A5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F6BD5-5325-47D8-9658-811E7B83BF45}" keepAlive="1" name="Query - ApiKey" description="Connection to the 'ApiKey' query in the workbook." type="5" refreshedVersion="0" background="1">
    <dbPr connection="Provider=Microsoft.Mashup.OleDb.1;Data Source=$Workbook$;Location=ApiKey;Extended Properties=&quot;&quot;" command="SELECT * FROM [ApiKey]"/>
  </connection>
  <connection id="2" xr16:uid="{77012DB5-E195-4A78-A988-FE9B2D9111C2}" keepAlive="1" name="Query - fnGetTickerData" description="Connection to the 'fnGetTickerData' query in the workbook." type="5" refreshedVersion="0" background="1">
    <dbPr connection="Provider=Microsoft.Mashup.OleDb.1;Data Source=$Workbook$;Location=fnGetTickerData;Extended Properties=&quot;&quot;" command="SELECT * FROM [fnGetTickerData]"/>
  </connection>
  <connection id="3" xr16:uid="{15BA025B-8867-4706-9953-4DB29323B5E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4" xr16:uid="{1E5A37E9-1BC2-488E-8469-0D4EB230EA18}" keepAlive="1" name="Query - RawData_Query" description="Connection to the 'RawData_Query' query in the workbook." type="5" refreshedVersion="8" background="1" saveData="1">
    <dbPr connection="Provider=Microsoft.Mashup.OleDb.1;Data Source=$Workbook$;Location=RawData_Query;Extended Properties=&quot;&quot;" command="SELECT * FROM [RawData_Que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<sst xmlns="http://schemas.openxmlformats.org/spreadsheetml/2006/main" count="211" uniqueCount="98">
  <si>
    <t>Ticker</t>
  </si>
  <si>
    <t>Price</t>
  </si>
  <si>
    <t>NetGamma</t>
  </si>
  <si>
    <t>GammaRegime</t>
  </si>
  <si>
    <t>DeltaLean</t>
  </si>
  <si>
    <t>VannaBias</t>
  </si>
  <si>
    <t>CharmBias</t>
  </si>
  <si>
    <t>CallWallFlag</t>
  </si>
  <si>
    <t>PutWallFlag</t>
  </si>
  <si>
    <t>FlipFlag</t>
  </si>
  <si>
    <t>BullScore</t>
  </si>
  <si>
    <t>BearScore</t>
  </si>
  <si>
    <t>TradeBias</t>
  </si>
  <si>
    <t>Conviction</t>
  </si>
  <si>
    <t>Notes</t>
  </si>
  <si>
    <t>TierWeight</t>
  </si>
  <si>
    <t>Tier</t>
  </si>
  <si>
    <t>IWM</t>
  </si>
  <si>
    <t>SPY</t>
  </si>
  <si>
    <t>QQQ</t>
  </si>
  <si>
    <t>NFLX</t>
  </si>
  <si>
    <t>AMZN</t>
  </si>
  <si>
    <t>AAPL</t>
  </si>
  <si>
    <t>TSLA</t>
  </si>
  <si>
    <t>META</t>
  </si>
  <si>
    <t>PLTR</t>
  </si>
  <si>
    <t>GOOG</t>
  </si>
  <si>
    <t>MSFT</t>
  </si>
  <si>
    <t>NVDA</t>
  </si>
  <si>
    <t>FCX</t>
  </si>
  <si>
    <t>CCJ</t>
  </si>
  <si>
    <t>NEM</t>
  </si>
  <si>
    <t>VALE</t>
  </si>
  <si>
    <t>IBM</t>
  </si>
  <si>
    <t>CRWV</t>
  </si>
  <si>
    <t>CSCO</t>
  </si>
  <si>
    <t>PANW</t>
  </si>
  <si>
    <t>ORCL</t>
  </si>
  <si>
    <t>NET</t>
  </si>
  <si>
    <t>CRWD</t>
  </si>
  <si>
    <t>CRM</t>
  </si>
  <si>
    <t>NOW</t>
  </si>
  <si>
    <t>ADBE</t>
  </si>
  <si>
    <t>AAOI</t>
  </si>
  <si>
    <t>QCOM</t>
  </si>
  <si>
    <t>MU</t>
  </si>
  <si>
    <t>TSM</t>
  </si>
  <si>
    <t>AMAT</t>
  </si>
  <si>
    <t>AMD</t>
  </si>
  <si>
    <t>INTC</t>
  </si>
  <si>
    <t>SMCI</t>
  </si>
  <si>
    <t>AVGO</t>
  </si>
  <si>
    <t>APLD</t>
  </si>
  <si>
    <t>BE</t>
  </si>
  <si>
    <t>XLE</t>
  </si>
  <si>
    <t>RKLB</t>
  </si>
  <si>
    <t>RIOT</t>
  </si>
  <si>
    <t>COIN</t>
  </si>
  <si>
    <t>MSTR</t>
  </si>
  <si>
    <t>SNOW</t>
  </si>
  <si>
    <t>LLY</t>
  </si>
  <si>
    <t>JNJ</t>
  </si>
  <si>
    <t>UNH</t>
  </si>
  <si>
    <t>TGT</t>
  </si>
  <si>
    <t>HD</t>
  </si>
  <si>
    <t>COST</t>
  </si>
  <si>
    <t>WMT</t>
  </si>
  <si>
    <t>MS</t>
  </si>
  <si>
    <t>GS</t>
  </si>
  <si>
    <t>JPM</t>
  </si>
  <si>
    <t>BAC</t>
  </si>
  <si>
    <t>SCHW</t>
  </si>
  <si>
    <t>SOFI</t>
  </si>
  <si>
    <t>WFC</t>
  </si>
  <si>
    <t>RIVN</t>
  </si>
  <si>
    <t>XLF</t>
  </si>
  <si>
    <t>XLK</t>
  </si>
  <si>
    <t>Date</t>
  </si>
  <si>
    <t>CallWallStrike</t>
  </si>
  <si>
    <t>PutWallStrike</t>
  </si>
  <si>
    <t>FlipStrike</t>
  </si>
  <si>
    <t>NetVanna</t>
  </si>
  <si>
    <t>NetCharm</t>
  </si>
  <si>
    <t>NetDelta</t>
  </si>
  <si>
    <t>Iv</t>
  </si>
  <si>
    <t>IvLow</t>
  </si>
  <si>
    <t>IvHigh</t>
  </si>
  <si>
    <t>IvRank</t>
  </si>
  <si>
    <t>Rv</t>
  </si>
  <si>
    <t>RvLow</t>
  </si>
  <si>
    <t>RvHigh</t>
  </si>
  <si>
    <t>CallVolume</t>
  </si>
  <si>
    <t>PutVolume</t>
  </si>
  <si>
    <t>CallOiTotal</t>
  </si>
  <si>
    <t>PutOiTotal</t>
  </si>
  <si>
    <t>DominantExpiry</t>
  </si>
  <si>
    <t>DominantExpiryOi</t>
  </si>
  <si>
    <t>DominantExpiryVolume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</si>
</sst>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28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5589425-4AFA-4049-820F-C598318E5BD5}" autoFormatId="16" applyNumberFormats="0" applyBorderFormats="0" applyFontFormats="0" applyPatternFormats="0" applyAlignmentFormats="0" applyWidthHeightFormats="0">
  <queryTableRefresh nextId="27">
    <queryTableFields count="25">
      <queryTableField id="1" name="Ticker" tableColumnId="1"/>
      <queryTableField id="2" name="Tier" tableColumnId="2"/>
      <queryTableField id="3" name="Date" tableColumnId="3"/>
      <queryTableField id="25" name="Price" tableColumnId="25"/>
      <queryTableField id="4" name="CallWallStrike" tableColumnId="4"/>
      <queryTableField id="5" name="PutWallStrike" tableColumnId="5"/>
      <queryTableField id="6" name="FlipStrike" tableColumnId="6"/>
      <queryTableField id="7" name="NetGamma" tableColumnId="7"/>
      <queryTableField id="8" name="NetVanna" tableColumnId="8"/>
      <queryTableField id="9" name="NetCharm" tableColumnId="9"/>
      <queryTableField id="10" name="NetDelta" tableColumnId="10"/>
      <queryTableField id="11" name="Iv" tableColumnId="11"/>
      <queryTableField id="12" name="IvLow" tableColumnId="12"/>
      <queryTableField id="13" name="IvHigh" tableColumnId="13"/>
      <queryTableField id="14" name="IvRank" tableColumnId="14"/>
      <queryTableField id="15" name="Rv" tableColumnId="15"/>
      <queryTableField id="16" name="RvLow" tableColumnId="16"/>
      <queryTableField id="17" name="RvHigh" tableColumnId="17"/>
      <queryTableField id="18" name="CallVolume" tableColumnId="18"/>
      <queryTableField id="19" name="PutVolume" tableColumnId="19"/>
      <queryTableField id="20" name="CallOiTotal" tableColumnId="20"/>
      <queryTableField id="21" name="PutOiTotal" tableColumnId="21"/>
      <queryTableField id="22" name="DominantExpiry" tableColumnId="22"/>
      <queryTableField id="23" name="DominantExpiryOi" tableColumnId="23"/>
      <queryTableField id="24" name="DominantExpiryVolume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E112D1-2DCC-4067-B315-73EB286D4033}" name="Universe" displayName="Universe" ref="A1:B61" totalsRowShown="0">
  <autoFilter ref="A1:B61" xr:uid="{6EE112D1-2DCC-4067-B315-73EB286D4033}"/>
  <tableColumns count="2">
    <tableColumn id="1" xr3:uid="{34F5F209-09D7-4074-9FDE-5F3410B7B898}" name="Ticker"/>
    <tableColumn id="2" xr3:uid="{BA34F9DA-2A1C-4829-9071-8823DD024D48}" name="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BE0CD1-D398-452B-9298-747B2282F7FC}" name="RawData_Query" displayName="RawData_Query" ref="A1:Y61" tableType="queryTable" totalsRowShown="0">
  <autoFilter ref="A1:Y61" xr:uid="{BCBE0CD1-D398-452B-9298-747B2282F7FC}"/>
  <tableColumns count="25">
    <tableColumn id="1" xr3:uid="{DCA8DC0D-5BD9-4A33-B857-291B10BCC172}" uniqueName="1" name="Ticker" queryTableFieldId="1" dataDxfId="5"/>
    <tableColumn id="2" xr3:uid="{8338D8AC-0688-48B3-BF4C-8F1793290681}" uniqueName="2" name="Tier" queryTableFieldId="2"/>
    <tableColumn id="3" xr3:uid="{124F33F3-7B97-4538-8DEB-F21325F2EA91}" uniqueName="3" name="Date" queryTableFieldId="3" dataDxfId="4"/>
    <tableColumn id="25" xr3:uid="{21A40EE9-8561-47DC-97A3-2B40B2302FED}" uniqueName="25" name="Price" queryTableFieldId="25"/>
    <tableColumn id="4" xr3:uid="{8B11538F-F92D-4E01-ADFC-3963B27F8DB0}" uniqueName="4" name="CallWallStrike" queryTableFieldId="4"/>
    <tableColumn id="5" xr3:uid="{62D1FB0F-6B94-4798-B3CC-4F343D480023}" uniqueName="5" name="PutWallStrike" queryTableFieldId="5"/>
    <tableColumn id="6" xr3:uid="{57C50ABF-8628-49C4-B310-B2ABB418D4CF}" uniqueName="6" name="FlipStrike" queryTableFieldId="6"/>
    <tableColumn id="7" xr3:uid="{135ADA93-A2D4-4B22-8749-B131FA5DE479}" uniqueName="7" name="NetGamma" queryTableFieldId="7" dataDxfId="3" dataCellStyle="Currency"/>
    <tableColumn id="8" xr3:uid="{8BD3AB9A-3AA1-4C9C-8738-A5DDF3C95DFF}" uniqueName="8" name="NetVanna" queryTableFieldId="8" dataDxfId="2" dataCellStyle="Currency"/>
    <tableColumn id="9" xr3:uid="{CEE1D147-0A5A-422E-9655-8865AEC49B10}" uniqueName="9" name="NetCharm" queryTableFieldId="9" dataDxfId="1" dataCellStyle="Currency"/>
    <tableColumn id="10" xr3:uid="{B0C9B378-7CEC-4C9B-B4C9-6330339E973C}" uniqueName="10" name="NetDelta" queryTableFieldId="10"/>
    <tableColumn id="11" xr3:uid="{11B2240E-1E6B-442A-AE81-B6588F1CB969}" uniqueName="11" name="Iv" queryTableFieldId="11"/>
    <tableColumn id="12" xr3:uid="{81076DDA-E03C-4093-847A-E3AE665158E7}" uniqueName="12" name="IvLow" queryTableFieldId="12"/>
    <tableColumn id="13" xr3:uid="{7FD64F14-3F06-4E48-9FA4-2AA584EE4C03}" uniqueName="13" name="IvHigh" queryTableFieldId="13"/>
    <tableColumn id="14" xr3:uid="{A6253B96-A195-40A2-9819-5E0EE27C86EB}" uniqueName="14" name="IvRank" queryTableFieldId="14"/>
    <tableColumn id="15" xr3:uid="{C4CF073D-8793-49F2-9BFC-9440B7246498}" uniqueName="15" name="Rv" queryTableFieldId="15"/>
    <tableColumn id="16" xr3:uid="{71DBC386-7FC6-41A1-89FC-522049A54FED}" uniqueName="16" name="RvLow" queryTableFieldId="16"/>
    <tableColumn id="17" xr3:uid="{826260AD-515A-488A-93EB-DD5499D900FC}" uniqueName="17" name="RvHigh" queryTableFieldId="17"/>
    <tableColumn id="18" xr3:uid="{1A401BAE-080A-4955-9A56-8B4DBC3BE75B}" uniqueName="18" name="CallVolume" queryTableFieldId="18"/>
    <tableColumn id="19" xr3:uid="{553B8ADE-FEF4-463F-AD0D-07033AAB04F5}" uniqueName="19" name="PutVolume" queryTableFieldId="19"/>
    <tableColumn id="20" xr3:uid="{052F4697-9EC1-472B-AF41-8215FF593214}" uniqueName="20" name="CallOiTotal" queryTableFieldId="20"/>
    <tableColumn id="21" xr3:uid="{731CAEC9-19EC-40B5-844F-05998C883563}" uniqueName="21" name="PutOiTotal" queryTableFieldId="21"/>
    <tableColumn id="22" xr3:uid="{DEB05AD4-29D6-4E17-AFC8-694A8BAFCCB8}" uniqueName="22" name="DominantExpiry" queryTableFieldId="22" dataDxfId="0"/>
    <tableColumn id="23" xr3:uid="{80F792A4-FC6A-46CC-A1A7-9277F196FF5E}" uniqueName="23" name="DominantExpiryOi" queryTableFieldId="23"/>
    <tableColumn id="24" xr3:uid="{CE7E67B6-0D9D-4B3F-A7C8-13D92F71E895}" uniqueName="24" name="DominantExpiryVolume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A9ACC8-915B-490D-903C-980696C7DF91}" name="LE" displayName="LE" ref="A1:O63" totalsRowShown="0" headerRowDxfId="27">
  <autoFilter ref="A1:O63" xr:uid="{5DA9ACC8-915B-490D-903C-980696C7DF91}"/>
  <tableColumns count="15">
    <tableColumn id="1" xr3:uid="{76A08403-0148-4D76-A959-6457C3C5C4BF}" name="Ticker" dataDxfId="12">
      <calculatedColumnFormula>RawData!A2</calculatedColumnFormula>
    </tableColumn>
    <tableColumn id="15" xr3:uid="{56358599-8F51-44DF-A2AB-B11917D9C4B6}" name="Tier" dataDxfId="11">
      <calculatedColumnFormula>RawData!B2</calculatedColumnFormula>
    </tableColumn>
    <tableColumn id="14" xr3:uid="{7F4BAC47-C7B9-4310-B4E6-4307C8894502}" name="TierWeight" dataDxfId="24">
      <calculatedColumnFormula>IF(B2=1,10,IF(B2=2,5,0))</calculatedColumnFormula>
    </tableColumn>
    <tableColumn id="2" xr3:uid="{36107084-BCDD-46C7-A65A-85C1A714D8F7}" name="GammaRegime" dataDxfId="17">
      <calculatedColumnFormula>IF(RawData!H2="","",
   IF(RawData!H2&gt;0,"Long Gamma","Short Gamma")
)</calculatedColumnFormula>
    </tableColumn>
    <tableColumn id="3" xr3:uid="{BDE212F3-4899-4A50-AB9C-1ED70B55EACD}" name="DeltaLean" dataDxfId="16">
      <calculatedColumnFormula>IF(RawData!K2="","",
   IF(RawData!K2&gt;0,"Dealers Long (Sell Rips)","Dealers Short (Buy Rips)")
)</calculatedColumnFormula>
    </tableColumn>
    <tableColumn id="4" xr3:uid="{367FCE6D-8200-4FF7-8BC4-673A2F58C399}" name="VannaBias" dataDxfId="15">
      <calculatedColumnFormula>IF(OR(RawData!I2="",RawData!O2=""),"",
   IF(RawData!I2&gt;0,
      IF(RawData!O2&gt;50,"Downside Pressure","Upside Drift"),
      IF(RawData!O2&gt;50,"Upside Pressure","Downside Drift")
   )
)</calculatedColumnFormula>
    </tableColumn>
    <tableColumn id="5" xr3:uid="{FAC19021-A680-4EE6-9814-04E131A5DCC3}" name="CharmBias" dataDxfId="14">
      <calculatedColumnFormula>IF(RawData!J2="","",
   IF(RawData!J2&lt;0,"Sell Into Close","Buy Into Close")
)</calculatedColumnFormula>
    </tableColumn>
    <tableColumn id="6" xr3:uid="{577E7F61-D1B0-4805-BE56-277FB7A07EF2}" name="CallWallFlag" dataDxfId="10">
      <calculatedColumnFormula>IF(RawData!E2="","",
   IF(ABS(RawData!E2 - RawData!D2)/RawData!D2 &lt; 0.02,"Near Call Wall","")
)</calculatedColumnFormula>
    </tableColumn>
    <tableColumn id="7" xr3:uid="{40A8463B-1861-49B2-9796-BDAB19F302C2}" name="PutWallFlag" dataDxfId="9">
      <calculatedColumnFormula>IF(RawData!F2="","",
   IF(ABS(RawData!F2 - RawData!D2)/RawData!D2 &lt; 0.02,"Near Put Wall","")
)</calculatedColumnFormula>
    </tableColumn>
    <tableColumn id="8" xr3:uid="{C718EEAE-72DF-4E45-B244-979D7E0900AC}" name="FlipFlag" dataDxfId="8">
      <calculatedColumnFormula>IF(RawData!G2="","",
   IF(RawData!G2 &lt; RawData!D2,"Below Flip","Above Flip")
)</calculatedColumnFormula>
    </tableColumn>
    <tableColumn id="9" xr3:uid="{F25A7005-BACE-4A2A-9C46-3BC74B5FB3A5}" name="BullScore" dataDxfId="7">
      <calculatedColumnFormula>IF(RawData!H2="","",
   (IF(LE[[#This Row],[GammaRegime]]="Long Gamma",10,0)) +
   (IF(RawData!K2&lt;0,10,0)) +
   (IF(AND(RawData!I2&lt;0,RawData!O2&gt;50),10,0)) +
   (IF(AND(RawData!I2&gt;0,RawData!O2&lt;50),10,0)) +
   (IF(ABS(RawData!E2 - RawData!D2)/RawData!D2 &lt; 0.02,5,0)) +
   (IF(RawData!G2&gt;RawData!D2,5,0)) +
   LE[[#This Row],[TierWeight]]
)</calculatedColumnFormula>
    </tableColumn>
    <tableColumn id="10" xr3:uid="{91395F8F-A708-486D-AA38-A49D320644D5}" name="BearScore" dataDxfId="6">
      <calculatedColumnFormula>IF(RawData!H2="","",
   (IF(LE[[#This Row],[GammaRegime]]="Short Gamma",10,0)) +
   (IF(RawData!K2&gt;0,10,0)) +
   (IF(AND(RawData!I2&gt;0,RawData!O2&gt;50),10,0)) +
   (IF(AND(RawData!I2&lt;0,RawData!O2&lt;50),10,0)) +
   (IF(ABS(RawData!F2 - RawData!D2)/RawData!D2 &lt; 0.02,5,0)) +
   (IF(RawData!G2&lt;RawData!D2,5,0)) +
   LE[[#This Row],[TierWeight]]
)</calculatedColumnFormula>
    </tableColumn>
    <tableColumn id="11" xr3:uid="{279EB22F-1E06-45E1-8F99-835B98B33C4E}" name="TradeBias" dataDxfId="26">
      <calculatedColumnFormula>IF(LE[[#This Row],[BullScore]]&gt;LE[[#This Row],[BearScore]],"Call",
   IF(LE[[#This Row],[BearScore]]&gt;LE[[#This Row],[BullScore]],"Put","Avoid")
)</calculatedColumnFormula>
    </tableColumn>
    <tableColumn id="12" xr3:uid="{0291869A-4D0B-40D8-AD16-7BE9E3DE6CA0}" name="Conviction" dataDxfId="25">
      <calculatedColumnFormula>MAX(LE[[#This Row],[BullScore]],LE[[#This Row],[BearScore]])</calculatedColumnFormula>
    </tableColumn>
    <tableColumn id="13" xr3:uid="{C745E22E-EC27-4E2B-9D2E-2FB599C1EBD8}" name="Notes" dataDxfId="13">
      <calculatedColumnFormula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9CB39B-CF61-430F-85B5-1D0856D7B0A5}" name="CallSetups" displayName="CallSetups" ref="A1:G11" totalsRowShown="0">
  <autoFilter ref="A1:G11" xr:uid="{DF9CB39B-CF61-430F-85B5-1D0856D7B0A5}"/>
  <tableColumns count="7">
    <tableColumn id="1" xr3:uid="{5E73D5F0-8971-4C28-A77D-E0E1C5D4C12E}" name="Ticker" dataDxfId="22">
      <calculatedColumnFormula array="1">_xlfn._xlws.SORT(
    _xlfn._xlws.FILTER(
        LE[[Ticker]:[Conviction]],
        (LE[TradeBias]="Call")*(LE[Conviction]&gt;=60)
    ),
    4, FALSE
)</calculatedColumnFormula>
    </tableColumn>
    <tableColumn id="2" xr3:uid="{846FC6A0-1220-4D2F-BBA7-E870CED2C411}" name="GammaRegime"/>
    <tableColumn id="3" xr3:uid="{68295616-E783-48EC-AD0F-0770C2088ACA}" name="DeltaLean"/>
    <tableColumn id="4" xr3:uid="{C50D065A-071A-499F-AD5B-57CB6C3E9DB3}" name="VannaBias"/>
    <tableColumn id="5" xr3:uid="{07832B6E-8A76-448C-BB8F-DFA0A23316E2}" name="CharmBias"/>
    <tableColumn id="6" xr3:uid="{7B08A18C-63D1-4974-935A-6C9543121AE6}" name="Conviction"/>
    <tableColumn id="7" xr3:uid="{665F16B8-8EF9-4677-8DAE-F29ED905C679}" name="Note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1D9C53-325B-4910-A0EF-C7408D0E351E}" name="PutSetups" displayName="PutSetups" ref="J1:P11" totalsRowShown="0">
  <autoFilter ref="J1:P11" xr:uid="{551D9C53-325B-4910-A0EF-C7408D0E351E}"/>
  <tableColumns count="7">
    <tableColumn id="1" xr3:uid="{199D33D7-FE4F-41A1-919E-3EC90EFFC0CF}" name="Ticker" dataDxfId="23">
      <calculatedColumnFormula array="1">_xlfn._xlws.SORT(
    _xlfn._xlws.FILTER(
        LE[[Ticker]:[Conviction]],
        (LE[TradeBias]="Put")*(LE[Conviction]&gt;=60)
    ),
    4, FALSE
)</calculatedColumnFormula>
    </tableColumn>
    <tableColumn id="2" xr3:uid="{1CC9D0DC-24F5-41AF-B63C-5FCCC8BEFD9E}" name="GammaRegime"/>
    <tableColumn id="3" xr3:uid="{A8023E8C-D606-4B35-A339-D5B791318E51}" name="DeltaLean"/>
    <tableColumn id="4" xr3:uid="{4B2198CD-D0DD-4D1E-8E04-ADE9EB789CD2}" name="VannaBias"/>
    <tableColumn id="5" xr3:uid="{EDA347B3-C2FF-4BF1-AA97-C226189F0044}" name="CharmBias"/>
    <tableColumn id="6" xr3:uid="{2AD2CB55-1638-403F-A06F-C557155EA2BE}" name="Conviction"/>
    <tableColumn id="7" xr3:uid="{65FBF9D9-DDCC-4853-84BE-45CA4E3530AD}" name="Note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9A8345-F343-4DCC-BE03-DEEE53BAF3D5}" name="GammaExtremes" displayName="GammaExtremes" ref="A14:F24" totalsRowShown="0">
  <autoFilter ref="A14:F24" xr:uid="{449A8345-F343-4DCC-BE03-DEEE53BAF3D5}"/>
  <tableColumns count="6">
    <tableColumn id="1" xr3:uid="{627C1121-41F7-4A64-B0E7-280D926FB8CB}" name="Ticker" dataDxfId="19">
      <calculatedColumnFormula array="1">_xlfn.TAKE(_xlfn.SORTBY(
    LE[[Ticker]:[GammaRegime]],
    ABS(RawData!D:D),
    -1
), 10)</calculatedColumnFormula>
    </tableColumn>
    <tableColumn id="2" xr3:uid="{DEBF7565-0073-4696-908A-849AFFFB6B09}" name="GammaRegime"/>
    <tableColumn id="3" xr3:uid="{5C344DD1-C386-4B65-8D68-A4CB63261721}" name="NetGamma"/>
    <tableColumn id="4" xr3:uid="{DC67A3FD-8F9B-47AB-8F96-0C68E550A794}" name="DeltaLean"/>
    <tableColumn id="5" xr3:uid="{66F4D99A-D124-43D5-B811-7C6F66B004DA}" name="VannaBias"/>
    <tableColumn id="6" xr3:uid="{385728DA-81BA-40F0-A057-2E92437353B6}" name="Note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D1D693-7358-439D-8B9D-4B210FAE26C6}" name="Table6" displayName="Table6" ref="J14:P20" totalsRowShown="0">
  <autoFilter ref="J14:P20" xr:uid="{12D1D693-7358-439D-8B9D-4B210FAE26C6}"/>
  <tableColumns count="7">
    <tableColumn id="1" xr3:uid="{19DFA154-33D9-4B79-ADA5-C72FA6CBC10C}" name="Ticker" dataDxfId="20">
      <calculatedColumnFormula array="1">_xlfn._xlws.SORT(
    _xlfn._xlws.FILTER(
        LE[[Ticker]:[Notes]],
        (LE[CallWallFlag]&lt;&gt;"") + (LE[PutWallFlag]&lt;&gt;"")
    ),
    6, FALSE
)</calculatedColumnFormula>
    </tableColumn>
    <tableColumn id="2" xr3:uid="{49D7669C-176B-4BB6-913C-D7886C044F44}" name="GammaRegime"/>
    <tableColumn id="3" xr3:uid="{5174B900-F078-4770-AA1F-C8C281B33CA4}" name="DeltaLean"/>
    <tableColumn id="4" xr3:uid="{53627DE7-5FF0-4639-B5F1-8D5E7EB02D87}" name="VannaBias"/>
    <tableColumn id="5" xr3:uid="{3DF3AA55-01D0-482D-AD8C-A36B026A641A}" name="CharmBias"/>
    <tableColumn id="6" xr3:uid="{A01ED532-BC38-46BB-B6A6-EB8DAEECBC58}" name="Conviction"/>
    <tableColumn id="7" xr3:uid="{C9E6A4CA-A706-4959-B93E-31C76D223BF0}" name="Notes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618E91-5396-4ED8-AE82-4F228660887E}" name="NearGammaFlip" displayName="NearGammaFlip" ref="A27:H33" totalsRowShown="0">
  <autoFilter ref="A27:H33" xr:uid="{AD618E91-5396-4ED8-AE82-4F228660887E}"/>
  <tableColumns count="8">
    <tableColumn id="1" xr3:uid="{5FBAD1B9-0A82-4371-B89D-D9470D4F57AF}" name="Ticker" dataDxfId="21">
      <calculatedColumnFormula array="1">_xlfn._xlws.SORT(
    _xlfn._xlws.FILTER(
        LE[[Ticker]:[Notes]],
        LE[FlipFlag]&lt;&gt;""
    ),
    6, FALSE
)</calculatedColumnFormula>
    </tableColumn>
    <tableColumn id="2" xr3:uid="{2A4D1581-54D8-4538-9EDE-FB21BBF94A62}" name="GammaRegime"/>
    <tableColumn id="3" xr3:uid="{4F49B6C4-A8D1-47BA-8D00-9AA0FB76049D}" name="DeltaLean"/>
    <tableColumn id="4" xr3:uid="{FDCB3114-6E30-4BD0-B884-4CD777A04CE7}" name="VannaBias"/>
    <tableColumn id="5" xr3:uid="{18DC3AA2-D385-449C-9C91-D5212E9A161E}" name="CharmBias"/>
    <tableColumn id="6" xr3:uid="{14A6474C-6E17-4AD9-9ADD-BDD88019A551}" name="Conviction"/>
    <tableColumn id="7" xr3:uid="{7A1ADF4B-53E9-4D0F-9B37-6EAE3E7D879E}" name="FlipFlag"/>
    <tableColumn id="8" xr3:uid="{E810B01F-D4EF-4024-ABEF-FAFCAC0CC989}" name="Notes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50A81B-E207-435D-A5BA-1B1AFB2077C3}" name="CharmBias" displayName="CharmBias" ref="J27:P33" totalsRowShown="0">
  <autoFilter ref="J27:P33" xr:uid="{DA50A81B-E207-435D-A5BA-1B1AFB2077C3}"/>
  <tableColumns count="7">
    <tableColumn id="1" xr3:uid="{9469F2C8-FA7C-401F-B489-A003D09B28C6}" name="Ticker" dataDxfId="18">
      <calculatedColumnFormula array="1">_xlfn._xlws.SORT(
    _xlfn._xlws.FILTER(
        LE[[Ticker]:[Notes]],
        (LE[CharmBias]="Buy Into Close") + (LE[CharmBias]="Sell Into Close")
    ),
    6, FALSE
)</calculatedColumnFormula>
    </tableColumn>
    <tableColumn id="2" xr3:uid="{B8D8A761-4D83-49F5-B4AF-F775E26AADCF}" name="GammaRegime"/>
    <tableColumn id="3" xr3:uid="{346D4B8D-239A-4D42-AD33-D9D41B7E8308}" name="DeltaLean"/>
    <tableColumn id="4" xr3:uid="{63D13D56-4DA0-4E09-831D-F01FB4A83B58}" name="VannaBias"/>
    <tableColumn id="5" xr3:uid="{464B3500-BC2D-41AE-9545-5C8E268DA1AD}" name="CharmBias"/>
    <tableColumn id="6" xr3:uid="{737B69E6-1C8C-4722-83C6-AFAEDEB4CAF5}" name="Conviction"/>
    <tableColumn id="7" xr3:uid="{77374395-218C-4465-9D1C-9EDBE8B492D1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63F6-B545-47AF-B31E-61581C4A6BE3}">
  <dimension ref="A1:B61"/>
  <sheetViews>
    <sheetView topLeftCell="A19" workbookViewId="0">
      <selection activeCell="A40" sqref="A40:B40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 t="s">
        <v>17</v>
      </c>
      <c r="B2">
        <v>1</v>
      </c>
    </row>
    <row r="3" spans="1:2" x14ac:dyDescent="0.25">
      <c r="A3" t="s">
        <v>18</v>
      </c>
      <c r="B3">
        <v>1</v>
      </c>
    </row>
    <row r="4" spans="1:2" x14ac:dyDescent="0.25">
      <c r="A4" t="s">
        <v>19</v>
      </c>
      <c r="B4">
        <v>1</v>
      </c>
    </row>
    <row r="5" spans="1:2" x14ac:dyDescent="0.25">
      <c r="A5" t="s">
        <v>20</v>
      </c>
      <c r="B5">
        <v>1</v>
      </c>
    </row>
    <row r="6" spans="1:2" x14ac:dyDescent="0.25">
      <c r="A6" t="s">
        <v>21</v>
      </c>
      <c r="B6">
        <v>1</v>
      </c>
    </row>
    <row r="7" spans="1:2" x14ac:dyDescent="0.25">
      <c r="A7" t="s">
        <v>22</v>
      </c>
      <c r="B7">
        <v>1</v>
      </c>
    </row>
    <row r="8" spans="1:2" x14ac:dyDescent="0.25">
      <c r="A8" t="s">
        <v>23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25</v>
      </c>
      <c r="B10">
        <v>2</v>
      </c>
    </row>
    <row r="11" spans="1:2" x14ac:dyDescent="0.25">
      <c r="A11" t="s">
        <v>26</v>
      </c>
      <c r="B11">
        <v>1</v>
      </c>
    </row>
    <row r="12" spans="1:2" x14ac:dyDescent="0.25">
      <c r="A12" t="s">
        <v>27</v>
      </c>
      <c r="B12">
        <v>1</v>
      </c>
    </row>
    <row r="13" spans="1:2" x14ac:dyDescent="0.25">
      <c r="A13" t="s">
        <v>28</v>
      </c>
      <c r="B13">
        <v>1</v>
      </c>
    </row>
    <row r="14" spans="1:2" x14ac:dyDescent="0.25">
      <c r="A14" t="s">
        <v>29</v>
      </c>
      <c r="B14">
        <v>2</v>
      </c>
    </row>
    <row r="15" spans="1:2" x14ac:dyDescent="0.25">
      <c r="A15" t="s">
        <v>30</v>
      </c>
      <c r="B15">
        <v>2</v>
      </c>
    </row>
    <row r="16" spans="1:2" x14ac:dyDescent="0.25">
      <c r="A16" t="s">
        <v>31</v>
      </c>
      <c r="B16">
        <v>2</v>
      </c>
    </row>
    <row r="17" spans="1:2" x14ac:dyDescent="0.25">
      <c r="A17" t="s">
        <v>32</v>
      </c>
      <c r="B17">
        <v>2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3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1</v>
      </c>
    </row>
    <row r="22" spans="1:2" x14ac:dyDescent="0.25">
      <c r="A22" t="s">
        <v>37</v>
      </c>
      <c r="B22">
        <v>1</v>
      </c>
    </row>
    <row r="23" spans="1:2" x14ac:dyDescent="0.25">
      <c r="A23" t="s">
        <v>38</v>
      </c>
      <c r="B23">
        <v>1</v>
      </c>
    </row>
    <row r="24" spans="1:2" x14ac:dyDescent="0.25">
      <c r="A24" t="s">
        <v>39</v>
      </c>
      <c r="B24">
        <v>1</v>
      </c>
    </row>
    <row r="25" spans="1:2" x14ac:dyDescent="0.25">
      <c r="A25" t="s">
        <v>40</v>
      </c>
      <c r="B25">
        <v>1</v>
      </c>
    </row>
    <row r="26" spans="1:2" x14ac:dyDescent="0.25">
      <c r="A26" t="s">
        <v>41</v>
      </c>
      <c r="B26">
        <v>1</v>
      </c>
    </row>
    <row r="27" spans="1:2" x14ac:dyDescent="0.25">
      <c r="A27" t="s">
        <v>42</v>
      </c>
      <c r="B27">
        <v>1</v>
      </c>
    </row>
    <row r="28" spans="1:2" x14ac:dyDescent="0.25">
      <c r="A28" t="s">
        <v>43</v>
      </c>
      <c r="B28">
        <v>3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1</v>
      </c>
    </row>
    <row r="31" spans="1:2" x14ac:dyDescent="0.25">
      <c r="A31" t="s">
        <v>46</v>
      </c>
      <c r="B31">
        <v>1</v>
      </c>
    </row>
    <row r="32" spans="1:2" x14ac:dyDescent="0.25">
      <c r="A32" t="s">
        <v>47</v>
      </c>
      <c r="B32">
        <v>2</v>
      </c>
    </row>
    <row r="33" spans="1:2" x14ac:dyDescent="0.25">
      <c r="A33" t="s">
        <v>48</v>
      </c>
      <c r="B33">
        <v>1</v>
      </c>
    </row>
    <row r="34" spans="1:2" x14ac:dyDescent="0.25">
      <c r="A34" t="s">
        <v>49</v>
      </c>
      <c r="B34">
        <v>2</v>
      </c>
    </row>
    <row r="35" spans="1:2" x14ac:dyDescent="0.25">
      <c r="A35" t="s">
        <v>50</v>
      </c>
      <c r="B35">
        <v>2</v>
      </c>
    </row>
    <row r="36" spans="1:2" x14ac:dyDescent="0.25">
      <c r="A36" t="s">
        <v>51</v>
      </c>
      <c r="B36">
        <v>1</v>
      </c>
    </row>
    <row r="37" spans="1:2" x14ac:dyDescent="0.25">
      <c r="A37" t="s">
        <v>52</v>
      </c>
      <c r="B37">
        <v>3</v>
      </c>
    </row>
    <row r="38" spans="1:2" x14ac:dyDescent="0.25">
      <c r="A38" t="s">
        <v>53</v>
      </c>
      <c r="B38">
        <v>3</v>
      </c>
    </row>
    <row r="39" spans="1:2" x14ac:dyDescent="0.25">
      <c r="A39" t="s">
        <v>54</v>
      </c>
      <c r="B39">
        <v>1</v>
      </c>
    </row>
    <row r="40" spans="1:2" x14ac:dyDescent="0.25">
      <c r="A40" t="s">
        <v>55</v>
      </c>
      <c r="B40">
        <v>2</v>
      </c>
    </row>
    <row r="41" spans="1:2" x14ac:dyDescent="0.25">
      <c r="A41" t="s">
        <v>56</v>
      </c>
      <c r="B41">
        <v>2</v>
      </c>
    </row>
    <row r="42" spans="1:2" x14ac:dyDescent="0.25">
      <c r="A42" t="s">
        <v>57</v>
      </c>
      <c r="B42">
        <v>2</v>
      </c>
    </row>
    <row r="43" spans="1:2" x14ac:dyDescent="0.25">
      <c r="A43" t="s">
        <v>58</v>
      </c>
      <c r="B43">
        <v>2</v>
      </c>
    </row>
    <row r="44" spans="1:2" x14ac:dyDescent="0.25">
      <c r="A44" t="s">
        <v>59</v>
      </c>
      <c r="B44">
        <v>2</v>
      </c>
    </row>
    <row r="45" spans="1:2" x14ac:dyDescent="0.25">
      <c r="A45" t="s">
        <v>60</v>
      </c>
      <c r="B45">
        <v>2</v>
      </c>
    </row>
    <row r="46" spans="1:2" x14ac:dyDescent="0.25">
      <c r="A46" t="s">
        <v>61</v>
      </c>
      <c r="B46">
        <v>2</v>
      </c>
    </row>
    <row r="47" spans="1:2" x14ac:dyDescent="0.25">
      <c r="A47" t="s">
        <v>62</v>
      </c>
      <c r="B47">
        <v>2</v>
      </c>
    </row>
    <row r="48" spans="1:2" x14ac:dyDescent="0.25">
      <c r="A48" t="s">
        <v>63</v>
      </c>
      <c r="B48">
        <v>2</v>
      </c>
    </row>
    <row r="49" spans="1:2" x14ac:dyDescent="0.25">
      <c r="A49" t="s">
        <v>64</v>
      </c>
      <c r="B49">
        <v>2</v>
      </c>
    </row>
    <row r="50" spans="1:2" x14ac:dyDescent="0.25">
      <c r="A50" t="s">
        <v>65</v>
      </c>
      <c r="B50">
        <v>2</v>
      </c>
    </row>
    <row r="51" spans="1:2" x14ac:dyDescent="0.25">
      <c r="A51" t="s">
        <v>66</v>
      </c>
      <c r="B51">
        <v>2</v>
      </c>
    </row>
    <row r="52" spans="1:2" x14ac:dyDescent="0.25">
      <c r="A52" t="s">
        <v>67</v>
      </c>
      <c r="B52">
        <v>1</v>
      </c>
    </row>
    <row r="53" spans="1:2" x14ac:dyDescent="0.25">
      <c r="A53" t="s">
        <v>68</v>
      </c>
      <c r="B53">
        <v>1</v>
      </c>
    </row>
    <row r="54" spans="1:2" x14ac:dyDescent="0.25">
      <c r="A54" t="s">
        <v>69</v>
      </c>
      <c r="B54">
        <v>1</v>
      </c>
    </row>
    <row r="55" spans="1:2" x14ac:dyDescent="0.25">
      <c r="A55" t="s">
        <v>70</v>
      </c>
      <c r="B55">
        <v>1</v>
      </c>
    </row>
    <row r="56" spans="1:2" x14ac:dyDescent="0.25">
      <c r="A56" t="s">
        <v>71</v>
      </c>
      <c r="B56">
        <v>2</v>
      </c>
    </row>
    <row r="57" spans="1:2" x14ac:dyDescent="0.25">
      <c r="A57" t="s">
        <v>72</v>
      </c>
      <c r="B57">
        <v>2</v>
      </c>
    </row>
    <row r="58" spans="1:2" x14ac:dyDescent="0.25">
      <c r="A58" t="s">
        <v>73</v>
      </c>
      <c r="B58">
        <v>1</v>
      </c>
    </row>
    <row r="59" spans="1:2" x14ac:dyDescent="0.25">
      <c r="A59" t="s">
        <v>74</v>
      </c>
      <c r="B59">
        <v>2</v>
      </c>
    </row>
    <row r="60" spans="1:2" x14ac:dyDescent="0.25">
      <c r="A60" t="s">
        <v>75</v>
      </c>
      <c r="B60">
        <v>1</v>
      </c>
    </row>
    <row r="61" spans="1:2" x14ac:dyDescent="0.25">
      <c r="A61" t="s">
        <v>76</v>
      </c>
      <c r="B6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B583-1462-461B-960A-5EF1A6EC7CB3}">
  <dimension ref="A1:Y61"/>
  <sheetViews>
    <sheetView tabSelected="1" topLeftCell="A10" zoomScale="85" zoomScaleNormal="85" workbookViewId="0">
      <selection activeCell="K5" sqref="K5"/>
    </sheetView>
  </sheetViews>
  <sheetFormatPr defaultRowHeight="15" x14ac:dyDescent="0.25"/>
  <cols>
    <col min="1" max="1" width="8.85546875" bestFit="1" customWidth="1"/>
    <col min="2" max="2" width="6.85546875" bestFit="1" customWidth="1"/>
    <col min="3" max="3" width="9.5703125" bestFit="1" customWidth="1"/>
    <col min="4" max="4" width="8.140625" bestFit="1" customWidth="1"/>
    <col min="5" max="5" width="16.28515625" bestFit="1" customWidth="1"/>
    <col min="6" max="6" width="15.7109375" bestFit="1" customWidth="1"/>
    <col min="7" max="7" width="11.85546875" bestFit="1" customWidth="1"/>
    <col min="8" max="8" width="18" bestFit="1" customWidth="1"/>
    <col min="9" max="9" width="16.28515625" bestFit="1" customWidth="1"/>
    <col min="10" max="10" width="23.42578125" bestFit="1" customWidth="1"/>
    <col min="11" max="11" width="11.42578125" bestFit="1" customWidth="1"/>
    <col min="12" max="12" width="6.140625" bestFit="1" customWidth="1"/>
    <col min="13" max="13" width="8.5703125" bestFit="1" customWidth="1"/>
    <col min="14" max="14" width="9" bestFit="1" customWidth="1"/>
    <col min="15" max="15" width="9.42578125" bestFit="1" customWidth="1"/>
    <col min="16" max="17" width="9.28515625" bestFit="1" customWidth="1"/>
    <col min="18" max="18" width="9.7109375" bestFit="1" customWidth="1"/>
    <col min="19" max="19" width="13.7109375" bestFit="1" customWidth="1"/>
    <col min="20" max="20" width="13.140625" bestFit="1" customWidth="1"/>
    <col min="21" max="21" width="13.28515625" bestFit="1" customWidth="1"/>
    <col min="22" max="22" width="12.7109375" bestFit="1" customWidth="1"/>
    <col min="23" max="23" width="17.85546875" bestFit="1" customWidth="1"/>
    <col min="24" max="24" width="20" bestFit="1" customWidth="1"/>
    <col min="25" max="25" width="25" customWidth="1"/>
  </cols>
  <sheetData>
    <row r="1" spans="1:25" x14ac:dyDescent="0.25">
      <c r="A1" t="s">
        <v>0</v>
      </c>
      <c r="B1" t="s">
        <v>16</v>
      </c>
      <c r="C1" t="s">
        <v>77</v>
      </c>
      <c r="D1" t="s">
        <v>1</v>
      </c>
      <c r="E1" t="s">
        <v>78</v>
      </c>
      <c r="F1" t="s">
        <v>79</v>
      </c>
      <c r="G1" t="s">
        <v>80</v>
      </c>
      <c r="H1" t="s">
        <v>2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</row>
    <row r="2" spans="1:25" x14ac:dyDescent="0.25">
      <c r="A2" s="2" t="s">
        <v>17</v>
      </c>
      <c r="B2">
        <v>1</v>
      </c>
      <c r="C2" s="4">
        <v>46164</v>
      </c>
      <c r="E2" s="3">
        <v>300</v>
      </c>
      <c r="F2" s="3">
        <v>250</v>
      </c>
      <c r="G2" s="3">
        <v>85</v>
      </c>
      <c r="H2" s="3">
        <v>-113745260.09</v>
      </c>
      <c r="I2" s="3">
        <v>19026221.5</v>
      </c>
      <c r="J2" s="3">
        <v>-2787210247.6999993</v>
      </c>
      <c r="L2">
        <v>0.22500000000000001</v>
      </c>
      <c r="M2">
        <v>0.16600000000000001</v>
      </c>
      <c r="N2">
        <v>0.34</v>
      </c>
      <c r="O2">
        <v>33.695</v>
      </c>
      <c r="P2">
        <v>0.19889899999999999</v>
      </c>
      <c r="Q2">
        <v>0.12523400000000001</v>
      </c>
      <c r="R2">
        <v>0.25795000000000001</v>
      </c>
      <c r="S2">
        <v>674438</v>
      </c>
      <c r="T2">
        <v>826894</v>
      </c>
      <c r="U2">
        <v>2715615</v>
      </c>
      <c r="V2">
        <v>7680662</v>
      </c>
      <c r="W2" s="4">
        <v>46191</v>
      </c>
      <c r="X2">
        <v>2983625</v>
      </c>
      <c r="Y2">
        <v>243995</v>
      </c>
    </row>
    <row r="3" spans="1:25" x14ac:dyDescent="0.25">
      <c r="A3" s="2" t="s">
        <v>18</v>
      </c>
      <c r="B3">
        <v>1</v>
      </c>
      <c r="C3" s="4">
        <v>46164</v>
      </c>
      <c r="E3" s="3">
        <v>800</v>
      </c>
      <c r="F3" s="3">
        <v>700</v>
      </c>
      <c r="G3" s="3">
        <v>510</v>
      </c>
      <c r="H3" s="3">
        <v>5388950794.0300007</v>
      </c>
      <c r="I3" s="3">
        <v>205809808.08999991</v>
      </c>
      <c r="J3" s="3">
        <v>12642140523.050003</v>
      </c>
      <c r="L3">
        <v>0.14399999999999999</v>
      </c>
      <c r="M3">
        <v>0.11</v>
      </c>
      <c r="N3">
        <v>0.26600000000000001</v>
      </c>
      <c r="O3">
        <v>21.414899999999999</v>
      </c>
      <c r="P3">
        <v>0.102106</v>
      </c>
      <c r="Q3">
        <v>5.5587999999999999E-2</v>
      </c>
      <c r="R3">
        <v>0.20153599999999999</v>
      </c>
      <c r="S3">
        <v>5261015</v>
      </c>
      <c r="T3">
        <v>5024496</v>
      </c>
      <c r="U3">
        <v>5772793</v>
      </c>
      <c r="V3">
        <v>12998410</v>
      </c>
      <c r="W3" s="4">
        <v>46191</v>
      </c>
      <c r="X3">
        <v>3640387</v>
      </c>
      <c r="Y3">
        <v>339177</v>
      </c>
    </row>
    <row r="4" spans="1:25" x14ac:dyDescent="0.25">
      <c r="A4" s="2" t="s">
        <v>19</v>
      </c>
      <c r="B4">
        <v>1</v>
      </c>
      <c r="C4" s="4">
        <v>46164</v>
      </c>
      <c r="E4" s="3">
        <v>700</v>
      </c>
      <c r="F4" s="3">
        <v>600</v>
      </c>
      <c r="G4" s="3">
        <v>699</v>
      </c>
      <c r="H4" s="3">
        <v>2422088578.1400003</v>
      </c>
      <c r="I4" s="3">
        <v>65144053.509999998</v>
      </c>
      <c r="J4" s="3">
        <v>1471049900.5399985</v>
      </c>
      <c r="L4">
        <v>0.20599999999999999</v>
      </c>
      <c r="M4">
        <v>0.14599999999999999</v>
      </c>
      <c r="N4">
        <v>0.29599999999999999</v>
      </c>
      <c r="O4">
        <v>39.385800000000003</v>
      </c>
      <c r="P4">
        <v>0.16583800000000001</v>
      </c>
      <c r="Q4">
        <v>6.9145999999999999E-2</v>
      </c>
      <c r="R4">
        <v>0.23716100000000001</v>
      </c>
      <c r="S4">
        <v>2802929</v>
      </c>
      <c r="T4">
        <v>3003604</v>
      </c>
      <c r="U4">
        <v>4116625</v>
      </c>
      <c r="V4">
        <v>6835468</v>
      </c>
      <c r="W4" s="4">
        <v>46191</v>
      </c>
      <c r="X4">
        <v>2681909</v>
      </c>
      <c r="Y4">
        <v>197874</v>
      </c>
    </row>
    <row r="5" spans="1:25" x14ac:dyDescent="0.25">
      <c r="A5" s="2" t="s">
        <v>20</v>
      </c>
      <c r="B5">
        <v>1</v>
      </c>
      <c r="C5" s="4">
        <v>46164</v>
      </c>
      <c r="E5" s="3">
        <v>100</v>
      </c>
      <c r="F5" s="3">
        <v>5</v>
      </c>
      <c r="G5" s="3">
        <v>7.5</v>
      </c>
      <c r="H5" s="3">
        <v>1921749.3399999999</v>
      </c>
      <c r="I5" s="3">
        <v>487562.39</v>
      </c>
      <c r="J5" s="3">
        <v>-29661941.949999996</v>
      </c>
      <c r="L5">
        <v>0.29099999999999998</v>
      </c>
      <c r="M5">
        <v>0.24399999999999999</v>
      </c>
      <c r="N5">
        <v>0.49399999999999999</v>
      </c>
      <c r="O5">
        <v>19.2791</v>
      </c>
      <c r="P5">
        <v>0.244201</v>
      </c>
      <c r="Q5">
        <v>0.15029699999999999</v>
      </c>
      <c r="R5">
        <v>0.59555499999999995</v>
      </c>
      <c r="S5">
        <v>206131</v>
      </c>
      <c r="T5">
        <v>66367</v>
      </c>
      <c r="U5">
        <v>3151311</v>
      </c>
      <c r="V5">
        <v>2572503</v>
      </c>
      <c r="W5" s="4">
        <v>46402</v>
      </c>
      <c r="X5">
        <v>1388932</v>
      </c>
      <c r="Y5">
        <v>2736</v>
      </c>
    </row>
    <row r="6" spans="1:25" x14ac:dyDescent="0.25">
      <c r="A6" s="2" t="s">
        <v>21</v>
      </c>
      <c r="B6">
        <v>1</v>
      </c>
      <c r="C6" s="4">
        <v>46164</v>
      </c>
      <c r="E6" s="3">
        <v>275</v>
      </c>
      <c r="F6" s="3">
        <v>200</v>
      </c>
      <c r="G6" s="3">
        <v>75</v>
      </c>
      <c r="H6" s="3">
        <v>1007041838.9399998</v>
      </c>
      <c r="I6" s="3">
        <v>32678541.100000001</v>
      </c>
      <c r="J6" s="3">
        <v>-15189759786413.461</v>
      </c>
      <c r="L6">
        <v>0.28499999999999998</v>
      </c>
      <c r="M6">
        <v>0.23200000000000001</v>
      </c>
      <c r="N6">
        <v>0.503</v>
      </c>
      <c r="O6">
        <v>19.648700000000002</v>
      </c>
      <c r="P6">
        <v>0.22645999999999999</v>
      </c>
      <c r="Q6">
        <v>0.15371099999999999</v>
      </c>
      <c r="R6">
        <v>0.47581400000000001</v>
      </c>
      <c r="S6">
        <v>441807</v>
      </c>
      <c r="T6">
        <v>148390</v>
      </c>
      <c r="U6">
        <v>3076888</v>
      </c>
      <c r="V6">
        <v>1877472</v>
      </c>
      <c r="W6" s="4">
        <v>46402</v>
      </c>
      <c r="X6">
        <v>984489</v>
      </c>
      <c r="Y6">
        <v>11795</v>
      </c>
    </row>
    <row r="7" spans="1:25" x14ac:dyDescent="0.25">
      <c r="A7" s="2" t="s">
        <v>22</v>
      </c>
      <c r="B7">
        <v>1</v>
      </c>
      <c r="C7" s="4">
        <v>46164</v>
      </c>
      <c r="E7" s="3">
        <v>300</v>
      </c>
      <c r="F7" s="3">
        <v>250</v>
      </c>
      <c r="G7" s="3">
        <v>232.5</v>
      </c>
      <c r="H7" s="3">
        <v>-57126529.829999998</v>
      </c>
      <c r="I7" s="3">
        <v>12376015.899999999</v>
      </c>
      <c r="J7" s="3">
        <v>-992150260.99999988</v>
      </c>
      <c r="L7">
        <v>0.215</v>
      </c>
      <c r="M7">
        <v>0.17</v>
      </c>
      <c r="N7">
        <v>0.34300000000000003</v>
      </c>
      <c r="O7">
        <v>25.717500000000001</v>
      </c>
      <c r="P7">
        <v>0.18829699999999999</v>
      </c>
      <c r="Q7">
        <v>9.5371999999999998E-2</v>
      </c>
      <c r="R7">
        <v>0.33883000000000002</v>
      </c>
      <c r="S7">
        <v>1073441</v>
      </c>
      <c r="T7">
        <v>563369</v>
      </c>
      <c r="U7">
        <v>2876488</v>
      </c>
      <c r="V7">
        <v>2044306</v>
      </c>
      <c r="W7" s="4">
        <v>46191</v>
      </c>
      <c r="X7">
        <v>966835</v>
      </c>
      <c r="Y7">
        <v>111646</v>
      </c>
    </row>
    <row r="8" spans="1:25" x14ac:dyDescent="0.25">
      <c r="A8" s="2" t="s">
        <v>23</v>
      </c>
      <c r="B8">
        <v>1</v>
      </c>
      <c r="C8" s="4">
        <v>46164</v>
      </c>
      <c r="E8" s="3">
        <v>500</v>
      </c>
      <c r="F8" s="3">
        <v>250</v>
      </c>
      <c r="G8" s="3">
        <v>125</v>
      </c>
      <c r="H8" s="3">
        <v>1268448154.2499998</v>
      </c>
      <c r="I8" s="3">
        <v>29148120.20999999</v>
      </c>
      <c r="J8" s="3">
        <v>-31070126612864.211</v>
      </c>
      <c r="L8">
        <v>0.437</v>
      </c>
      <c r="M8">
        <v>0.39</v>
      </c>
      <c r="N8">
        <v>0.77300000000000002</v>
      </c>
      <c r="O8">
        <v>12.1938</v>
      </c>
      <c r="P8">
        <v>0.38032100000000002</v>
      </c>
      <c r="Q8">
        <v>0.28529300000000002</v>
      </c>
      <c r="R8">
        <v>0.80359000000000003</v>
      </c>
      <c r="S8">
        <v>2747097</v>
      </c>
      <c r="T8">
        <v>1351064</v>
      </c>
      <c r="U8">
        <v>4062569</v>
      </c>
      <c r="V8">
        <v>2966658</v>
      </c>
      <c r="W8" s="4">
        <v>46191</v>
      </c>
      <c r="X8">
        <v>1225196</v>
      </c>
      <c r="Y8">
        <v>99531</v>
      </c>
    </row>
    <row r="9" spans="1:25" x14ac:dyDescent="0.25">
      <c r="A9" s="2" t="s">
        <v>24</v>
      </c>
      <c r="B9">
        <v>1</v>
      </c>
      <c r="C9" s="4">
        <v>46164</v>
      </c>
      <c r="E9" s="3">
        <v>750</v>
      </c>
      <c r="F9" s="3">
        <v>600</v>
      </c>
      <c r="G9" s="3">
        <v>15</v>
      </c>
      <c r="H9" s="3">
        <v>-61439.210000000006</v>
      </c>
      <c r="I9" s="3">
        <v>228221.49000000002</v>
      </c>
      <c r="J9" s="3">
        <v>-133928532.71000004</v>
      </c>
      <c r="L9">
        <v>0.29099999999999998</v>
      </c>
      <c r="M9">
        <v>0.23400000000000001</v>
      </c>
      <c r="N9">
        <v>0.48799999999999999</v>
      </c>
      <c r="O9">
        <v>21.549099999999999</v>
      </c>
      <c r="P9">
        <v>0.35657800000000001</v>
      </c>
      <c r="Q9">
        <v>0.17115</v>
      </c>
      <c r="R9">
        <v>0.52788999999999997</v>
      </c>
      <c r="S9">
        <v>346829</v>
      </c>
      <c r="T9">
        <v>135183</v>
      </c>
      <c r="U9">
        <v>2087027</v>
      </c>
      <c r="V9">
        <v>956923</v>
      </c>
      <c r="W9" s="4">
        <v>46191</v>
      </c>
      <c r="X9">
        <v>760478</v>
      </c>
      <c r="Y9">
        <v>27179</v>
      </c>
    </row>
    <row r="10" spans="1:25" x14ac:dyDescent="0.25">
      <c r="A10" s="2" t="s">
        <v>25</v>
      </c>
      <c r="B10">
        <v>2</v>
      </c>
      <c r="C10" s="4">
        <v>46164</v>
      </c>
      <c r="E10" s="3">
        <v>150</v>
      </c>
      <c r="F10" s="3">
        <v>120</v>
      </c>
      <c r="G10" s="3">
        <v>13</v>
      </c>
      <c r="H10" s="3">
        <v>436178394.48000008</v>
      </c>
      <c r="I10" s="3">
        <v>9821427.5700000022</v>
      </c>
      <c r="J10" s="3">
        <v>-14591422683329.291</v>
      </c>
      <c r="L10">
        <v>0.442</v>
      </c>
      <c r="M10">
        <v>0.40500000000000003</v>
      </c>
      <c r="N10">
        <v>0.746</v>
      </c>
      <c r="O10">
        <v>10.8507</v>
      </c>
      <c r="P10">
        <v>0.37934699999999999</v>
      </c>
      <c r="Q10">
        <v>0.28207700000000002</v>
      </c>
      <c r="R10">
        <v>0.72988600000000003</v>
      </c>
      <c r="S10">
        <v>341790</v>
      </c>
      <c r="T10">
        <v>173373</v>
      </c>
      <c r="U10">
        <v>1882187</v>
      </c>
      <c r="V10">
        <v>1839500</v>
      </c>
      <c r="W10" s="4">
        <v>46191</v>
      </c>
      <c r="X10">
        <v>668072</v>
      </c>
      <c r="Y10">
        <v>34274</v>
      </c>
    </row>
    <row r="11" spans="1:25" x14ac:dyDescent="0.25">
      <c r="A11" s="2" t="s">
        <v>26</v>
      </c>
      <c r="B11">
        <v>1</v>
      </c>
      <c r="C11" s="4">
        <v>46164</v>
      </c>
      <c r="E11" s="3">
        <v>400</v>
      </c>
      <c r="F11" s="3">
        <v>330</v>
      </c>
      <c r="G11" s="3">
        <v>282.5</v>
      </c>
      <c r="H11" s="3">
        <v>-12189791.91</v>
      </c>
      <c r="I11" s="3">
        <v>5308760.3900000006</v>
      </c>
      <c r="J11" s="3">
        <v>-487340940.96999997</v>
      </c>
      <c r="L11">
        <v>0.28499999999999998</v>
      </c>
      <c r="M11">
        <v>0.245</v>
      </c>
      <c r="N11">
        <v>0.44400000000000001</v>
      </c>
      <c r="O11">
        <v>19.290400000000002</v>
      </c>
      <c r="P11">
        <v>0.40300399999999997</v>
      </c>
      <c r="Q11">
        <v>0.15762899999999999</v>
      </c>
      <c r="R11">
        <v>0.40767300000000001</v>
      </c>
      <c r="S11">
        <v>127570</v>
      </c>
      <c r="T11">
        <v>69301</v>
      </c>
      <c r="U11">
        <v>1041699</v>
      </c>
      <c r="V11">
        <v>834193</v>
      </c>
      <c r="W11" s="4">
        <v>46191</v>
      </c>
      <c r="X11">
        <v>424497</v>
      </c>
      <c r="Y11">
        <v>25850</v>
      </c>
    </row>
    <row r="12" spans="1:25" x14ac:dyDescent="0.25">
      <c r="A12" s="2" t="s">
        <v>27</v>
      </c>
      <c r="B12">
        <v>1</v>
      </c>
      <c r="C12" s="4">
        <v>46164</v>
      </c>
      <c r="E12" s="3">
        <v>575</v>
      </c>
      <c r="F12" s="3">
        <v>400</v>
      </c>
      <c r="G12" s="3">
        <v>180</v>
      </c>
      <c r="H12" s="3">
        <v>844539679.21000028</v>
      </c>
      <c r="I12" s="3">
        <v>57157829.56000001</v>
      </c>
      <c r="J12" s="3">
        <v>-30616996617982.723</v>
      </c>
      <c r="L12">
        <v>0.26900000000000002</v>
      </c>
      <c r="M12">
        <v>0.16400000000000001</v>
      </c>
      <c r="N12">
        <v>0.40600000000000003</v>
      </c>
      <c r="O12">
        <v>44.459200000000003</v>
      </c>
      <c r="P12">
        <v>0.24130299999999999</v>
      </c>
      <c r="Q12">
        <v>9.9789000000000003E-2</v>
      </c>
      <c r="R12">
        <v>0.48585499999999998</v>
      </c>
      <c r="S12">
        <v>562976</v>
      </c>
      <c r="T12">
        <v>161293</v>
      </c>
      <c r="U12">
        <v>2725119</v>
      </c>
      <c r="V12">
        <v>1285293</v>
      </c>
      <c r="W12" s="4">
        <v>46191</v>
      </c>
      <c r="X12">
        <v>740003</v>
      </c>
      <c r="Y12">
        <v>54603</v>
      </c>
    </row>
    <row r="13" spans="1:25" x14ac:dyDescent="0.25">
      <c r="A13" s="2" t="s">
        <v>28</v>
      </c>
      <c r="B13">
        <v>1</v>
      </c>
      <c r="C13" s="4">
        <v>46164</v>
      </c>
      <c r="E13" s="3">
        <v>200</v>
      </c>
      <c r="F13" s="3">
        <v>200</v>
      </c>
      <c r="G13" s="3">
        <v>272.5</v>
      </c>
      <c r="H13" s="3">
        <v>880726584.03000009</v>
      </c>
      <c r="I13" s="3">
        <v>93534754.719999999</v>
      </c>
      <c r="J13" s="3">
        <v>-43128243171373.07</v>
      </c>
      <c r="L13">
        <v>0.36699999999999999</v>
      </c>
      <c r="M13">
        <v>0.312</v>
      </c>
      <c r="N13">
        <v>0.55100000000000005</v>
      </c>
      <c r="O13">
        <v>27.261700000000001</v>
      </c>
      <c r="P13">
        <v>0.44471100000000002</v>
      </c>
      <c r="Q13">
        <v>0.219718</v>
      </c>
      <c r="R13">
        <v>0.46928999999999998</v>
      </c>
      <c r="S13">
        <v>2937462</v>
      </c>
      <c r="T13">
        <v>1381796</v>
      </c>
      <c r="U13">
        <v>9335988</v>
      </c>
      <c r="V13">
        <v>7335020</v>
      </c>
      <c r="W13" s="4">
        <v>46191</v>
      </c>
      <c r="X13">
        <v>3397169</v>
      </c>
      <c r="Y13">
        <v>242949</v>
      </c>
    </row>
    <row r="14" spans="1:25" x14ac:dyDescent="0.25">
      <c r="A14" s="2" t="s">
        <v>29</v>
      </c>
      <c r="B14">
        <v>2</v>
      </c>
      <c r="C14" s="4">
        <v>46164</v>
      </c>
      <c r="E14" s="3">
        <v>70</v>
      </c>
      <c r="F14" s="3">
        <v>50</v>
      </c>
      <c r="G14" s="3">
        <v>41</v>
      </c>
      <c r="H14" s="3">
        <v>11006417.209999999</v>
      </c>
      <c r="I14" s="3">
        <v>2134629.5100000002</v>
      </c>
      <c r="J14" s="3">
        <v>-882051098041.88013</v>
      </c>
      <c r="L14">
        <v>0.49299999999999999</v>
      </c>
      <c r="M14">
        <v>0.32200000000000001</v>
      </c>
      <c r="N14">
        <v>0.64700000000000002</v>
      </c>
      <c r="O14">
        <v>50.649700000000003</v>
      </c>
      <c r="P14">
        <v>0.47154499999999999</v>
      </c>
      <c r="Q14">
        <v>0.218476</v>
      </c>
      <c r="R14">
        <v>0.820245</v>
      </c>
      <c r="S14">
        <v>46520</v>
      </c>
      <c r="T14">
        <v>18948</v>
      </c>
      <c r="U14">
        <v>637882</v>
      </c>
      <c r="V14">
        <v>617768</v>
      </c>
      <c r="W14" s="4">
        <v>46191</v>
      </c>
      <c r="X14">
        <v>341909</v>
      </c>
      <c r="Y14">
        <v>9471</v>
      </c>
    </row>
    <row r="15" spans="1:25" x14ac:dyDescent="0.25">
      <c r="A15" s="2" t="s">
        <v>30</v>
      </c>
      <c r="B15">
        <v>2</v>
      </c>
      <c r="C15" s="4">
        <v>46164</v>
      </c>
      <c r="E15" s="3">
        <v>140</v>
      </c>
      <c r="F15" s="3">
        <v>90</v>
      </c>
      <c r="G15" s="3">
        <v>23</v>
      </c>
      <c r="H15" s="3">
        <v>-23406225.759999994</v>
      </c>
      <c r="I15" s="3">
        <v>924595.85</v>
      </c>
      <c r="J15" s="3">
        <v>-50712518640.32</v>
      </c>
      <c r="L15">
        <v>0.52500000000000002</v>
      </c>
      <c r="M15">
        <v>0.38400000000000001</v>
      </c>
      <c r="N15">
        <v>0.68200000000000005</v>
      </c>
      <c r="O15">
        <v>48.082500000000003</v>
      </c>
      <c r="P15">
        <v>0.541153</v>
      </c>
      <c r="Q15">
        <v>0.27604600000000001</v>
      </c>
      <c r="R15">
        <v>0.917547</v>
      </c>
      <c r="S15">
        <v>8913</v>
      </c>
      <c r="T15">
        <v>5225</v>
      </c>
      <c r="U15">
        <v>164747</v>
      </c>
      <c r="V15">
        <v>247104</v>
      </c>
      <c r="W15" s="4">
        <v>46191</v>
      </c>
      <c r="X15">
        <v>131056</v>
      </c>
      <c r="Y15">
        <v>1625</v>
      </c>
    </row>
    <row r="16" spans="1:25" x14ac:dyDescent="0.25">
      <c r="A16" s="2" t="s">
        <v>31</v>
      </c>
      <c r="B16">
        <v>2</v>
      </c>
      <c r="C16" s="4">
        <v>46164</v>
      </c>
      <c r="E16" s="3">
        <v>120</v>
      </c>
      <c r="F16" s="3">
        <v>100</v>
      </c>
      <c r="G16" s="3">
        <v>86</v>
      </c>
      <c r="H16" s="3">
        <v>-8565517.5999999996</v>
      </c>
      <c r="I16" s="3">
        <v>634259.23999999987</v>
      </c>
      <c r="J16" s="3">
        <v>-80867797791.109985</v>
      </c>
      <c r="L16">
        <v>0.45200000000000001</v>
      </c>
      <c r="M16">
        <v>0.30099999999999999</v>
      </c>
      <c r="N16">
        <v>0.624</v>
      </c>
      <c r="O16">
        <v>46.443899999999999</v>
      </c>
      <c r="P16">
        <v>0.57070600000000005</v>
      </c>
      <c r="Q16">
        <v>0.186946</v>
      </c>
      <c r="R16">
        <v>0.72510799999999997</v>
      </c>
      <c r="S16">
        <v>8082</v>
      </c>
      <c r="T16">
        <v>7310</v>
      </c>
      <c r="U16">
        <v>312371</v>
      </c>
      <c r="V16">
        <v>235792</v>
      </c>
      <c r="W16" s="4">
        <v>46191</v>
      </c>
      <c r="X16">
        <v>136543</v>
      </c>
      <c r="Y16">
        <v>1877</v>
      </c>
    </row>
    <row r="17" spans="1:25" x14ac:dyDescent="0.25">
      <c r="A17" s="2" t="s">
        <v>32</v>
      </c>
      <c r="B17">
        <v>2</v>
      </c>
      <c r="C17" s="4">
        <v>46164</v>
      </c>
      <c r="E17" s="3">
        <v>15</v>
      </c>
      <c r="F17" s="3">
        <v>10</v>
      </c>
      <c r="G17" s="3">
        <v>1</v>
      </c>
      <c r="H17" s="3">
        <v>7468382.3400000008</v>
      </c>
      <c r="I17" s="3">
        <v>240366.07000000018</v>
      </c>
      <c r="J17" s="3">
        <v>-71532297869.910019</v>
      </c>
      <c r="L17">
        <v>0.317</v>
      </c>
      <c r="M17">
        <v>0.19800000000000001</v>
      </c>
      <c r="N17">
        <v>0.443</v>
      </c>
      <c r="O17">
        <v>46.499200000000002</v>
      </c>
      <c r="P17">
        <v>0.35927900000000002</v>
      </c>
      <c r="Q17">
        <v>0.109823</v>
      </c>
      <c r="R17">
        <v>0.49229000000000001</v>
      </c>
      <c r="S17">
        <v>39350</v>
      </c>
      <c r="T17">
        <v>5252</v>
      </c>
      <c r="U17">
        <v>771703</v>
      </c>
      <c r="V17">
        <v>826577</v>
      </c>
      <c r="W17" s="4">
        <v>46191</v>
      </c>
      <c r="X17">
        <v>532304</v>
      </c>
      <c r="Y17">
        <v>1598</v>
      </c>
    </row>
    <row r="18" spans="1:25" x14ac:dyDescent="0.25">
      <c r="A18" s="2" t="s">
        <v>33</v>
      </c>
      <c r="B18">
        <v>1</v>
      </c>
      <c r="C18" s="4">
        <v>46164</v>
      </c>
      <c r="E18" s="3">
        <v>250</v>
      </c>
      <c r="F18" s="3">
        <v>230</v>
      </c>
      <c r="G18" s="3">
        <v>192.5</v>
      </c>
      <c r="H18" s="3">
        <v>76773634.570000008</v>
      </c>
      <c r="I18" s="3">
        <v>977686.5</v>
      </c>
      <c r="J18" s="3">
        <v>-688380497649.78967</v>
      </c>
      <c r="L18">
        <v>0.39500000000000002</v>
      </c>
      <c r="M18">
        <v>0.20200000000000001</v>
      </c>
      <c r="N18">
        <v>0.56000000000000005</v>
      </c>
      <c r="O18">
        <v>56.302500000000002</v>
      </c>
      <c r="P18">
        <v>0.480881</v>
      </c>
      <c r="Q18">
        <v>0.12902</v>
      </c>
      <c r="R18">
        <v>0.68692500000000001</v>
      </c>
      <c r="S18">
        <v>197058</v>
      </c>
      <c r="T18">
        <v>47643</v>
      </c>
      <c r="U18">
        <v>242674</v>
      </c>
      <c r="V18">
        <v>176564</v>
      </c>
      <c r="W18" s="4">
        <v>46191</v>
      </c>
      <c r="X18">
        <v>83918</v>
      </c>
      <c r="Y18">
        <v>26907</v>
      </c>
    </row>
    <row r="19" spans="1:25" x14ac:dyDescent="0.25">
      <c r="A19" s="2" t="s">
        <v>34</v>
      </c>
      <c r="B19">
        <v>3</v>
      </c>
      <c r="C19" s="4">
        <v>46164</v>
      </c>
      <c r="E19" s="3">
        <v>120</v>
      </c>
      <c r="F19" s="3">
        <v>65</v>
      </c>
      <c r="G19" s="3">
        <v>32.5</v>
      </c>
      <c r="H19" s="3">
        <v>26516138.199999996</v>
      </c>
      <c r="I19" s="3">
        <v>6270554.7200000025</v>
      </c>
      <c r="J19" s="3">
        <v>-5507847490145.0195</v>
      </c>
      <c r="L19">
        <v>0.82099999999999995</v>
      </c>
      <c r="M19">
        <v>0.67600000000000005</v>
      </c>
      <c r="N19">
        <v>1.581</v>
      </c>
      <c r="O19">
        <v>16.564499999999999</v>
      </c>
      <c r="P19">
        <v>0.89110999999999996</v>
      </c>
      <c r="Q19">
        <v>0.62738799999999995</v>
      </c>
      <c r="R19">
        <v>1.7107300000000001</v>
      </c>
      <c r="S19">
        <v>111011</v>
      </c>
      <c r="T19">
        <v>116365</v>
      </c>
      <c r="U19">
        <v>1064612</v>
      </c>
      <c r="V19">
        <v>910140</v>
      </c>
      <c r="W19" s="4">
        <v>46191</v>
      </c>
      <c r="X19">
        <v>567105</v>
      </c>
      <c r="Y19">
        <v>18422</v>
      </c>
    </row>
    <row r="20" spans="1:25" x14ac:dyDescent="0.25">
      <c r="A20" s="2" t="s">
        <v>35</v>
      </c>
      <c r="B20">
        <v>1</v>
      </c>
      <c r="C20" s="4">
        <v>46164</v>
      </c>
      <c r="E20" s="3">
        <v>120</v>
      </c>
      <c r="F20" s="3">
        <v>70</v>
      </c>
      <c r="G20" s="3">
        <v>66</v>
      </c>
      <c r="H20" s="3">
        <v>1815108.94</v>
      </c>
      <c r="I20" s="3">
        <v>479445.47999999992</v>
      </c>
      <c r="J20" s="3">
        <v>-584368164.05999994</v>
      </c>
      <c r="L20">
        <v>0.34200000000000003</v>
      </c>
      <c r="M20">
        <v>0.16400000000000001</v>
      </c>
      <c r="N20">
        <v>0.495</v>
      </c>
      <c r="O20">
        <v>52.869500000000002</v>
      </c>
      <c r="P20">
        <v>0.51052299999999995</v>
      </c>
      <c r="Q20">
        <v>0.11863899999999999</v>
      </c>
      <c r="R20">
        <v>0.55446099999999998</v>
      </c>
      <c r="S20">
        <v>132255</v>
      </c>
      <c r="T20">
        <v>25067</v>
      </c>
      <c r="U20">
        <v>609517</v>
      </c>
      <c r="V20">
        <v>403218</v>
      </c>
      <c r="W20" s="4">
        <v>46191</v>
      </c>
      <c r="X20">
        <v>239232</v>
      </c>
      <c r="Y20">
        <v>25951</v>
      </c>
    </row>
    <row r="21" spans="1:25" x14ac:dyDescent="0.25">
      <c r="A21" s="2" t="s">
        <v>36</v>
      </c>
      <c r="B21">
        <v>1</v>
      </c>
      <c r="C21" s="4">
        <v>46164</v>
      </c>
      <c r="E21" s="3">
        <v>200</v>
      </c>
      <c r="F21" s="3">
        <v>150</v>
      </c>
      <c r="G21" s="3">
        <v>30</v>
      </c>
      <c r="H21" s="3">
        <v>45915726.399999999</v>
      </c>
      <c r="I21" s="3">
        <v>1860260.48</v>
      </c>
      <c r="J21" s="3">
        <v>-434380505986.60999</v>
      </c>
      <c r="L21">
        <v>0.58099999999999996</v>
      </c>
      <c r="M21">
        <v>0.251</v>
      </c>
      <c r="N21">
        <v>0.60099999999999998</v>
      </c>
      <c r="O21">
        <v>95.8309</v>
      </c>
      <c r="P21">
        <v>0.38540999999999997</v>
      </c>
      <c r="Q21">
        <v>0.14515500000000001</v>
      </c>
      <c r="R21">
        <v>0.55626200000000003</v>
      </c>
      <c r="S21">
        <v>26423</v>
      </c>
      <c r="T21">
        <v>20968</v>
      </c>
      <c r="U21">
        <v>285582</v>
      </c>
      <c r="V21">
        <v>298390</v>
      </c>
      <c r="W21" s="4">
        <v>46191</v>
      </c>
      <c r="X21">
        <v>138339</v>
      </c>
      <c r="Y21">
        <v>5295</v>
      </c>
    </row>
    <row r="22" spans="1:25" x14ac:dyDescent="0.25">
      <c r="A22" s="2" t="s">
        <v>37</v>
      </c>
      <c r="B22">
        <v>1</v>
      </c>
      <c r="C22" s="4"/>
      <c r="E22" s="3">
        <v>200</v>
      </c>
      <c r="F22" s="3">
        <v>150</v>
      </c>
      <c r="G22" s="3">
        <v>132</v>
      </c>
      <c r="H22" s="3">
        <v>149667678.68999991</v>
      </c>
      <c r="I22" s="3">
        <v>11119832.520000001</v>
      </c>
      <c r="J22" s="3">
        <v>-9914177304665.3789</v>
      </c>
      <c r="S22">
        <v>219215</v>
      </c>
      <c r="T22">
        <v>75694</v>
      </c>
      <c r="U22">
        <v>1249304</v>
      </c>
      <c r="V22">
        <v>1117825</v>
      </c>
      <c r="W22" s="4">
        <v>46191</v>
      </c>
      <c r="X22">
        <v>542398</v>
      </c>
      <c r="Y22">
        <v>17652</v>
      </c>
    </row>
    <row r="23" spans="1:25" x14ac:dyDescent="0.25">
      <c r="A23" s="2" t="s">
        <v>38</v>
      </c>
      <c r="B23">
        <v>1</v>
      </c>
      <c r="C23" s="4">
        <v>46164</v>
      </c>
      <c r="E23" s="3">
        <v>250</v>
      </c>
      <c r="F23" s="3">
        <v>140</v>
      </c>
      <c r="G23" s="3">
        <v>136</v>
      </c>
      <c r="H23" s="3">
        <v>11945628.469999997</v>
      </c>
      <c r="I23" s="3">
        <v>1245739.83</v>
      </c>
      <c r="J23" s="3">
        <v>-73786946174.819992</v>
      </c>
      <c r="L23">
        <v>0.58299999999999996</v>
      </c>
      <c r="M23">
        <v>0.38700000000000001</v>
      </c>
      <c r="N23">
        <v>0.88700000000000001</v>
      </c>
      <c r="O23">
        <v>41.775399999999998</v>
      </c>
      <c r="P23">
        <v>1.087132</v>
      </c>
      <c r="Q23">
        <v>0.26207999999999998</v>
      </c>
      <c r="R23">
        <v>1.264386</v>
      </c>
      <c r="S23">
        <v>6721</v>
      </c>
      <c r="T23">
        <v>7562</v>
      </c>
      <c r="U23">
        <v>158494</v>
      </c>
      <c r="V23">
        <v>117993</v>
      </c>
      <c r="W23" s="4">
        <v>46191</v>
      </c>
      <c r="X23">
        <v>71263</v>
      </c>
      <c r="Y23">
        <v>1936</v>
      </c>
    </row>
    <row r="24" spans="1:25" x14ac:dyDescent="0.25">
      <c r="A24" s="2" t="s">
        <v>39</v>
      </c>
      <c r="B24">
        <v>1</v>
      </c>
      <c r="C24" s="4">
        <v>46164</v>
      </c>
      <c r="E24" s="3">
        <v>470</v>
      </c>
      <c r="F24" s="3">
        <v>300</v>
      </c>
      <c r="G24" s="3">
        <v>352.5</v>
      </c>
      <c r="H24" s="3">
        <v>-3799318.7600000002</v>
      </c>
      <c r="I24" s="3">
        <v>377993.18999999994</v>
      </c>
      <c r="J24" s="3">
        <v>-168724282.96999994</v>
      </c>
      <c r="L24">
        <v>0.58099999999999996</v>
      </c>
      <c r="M24">
        <v>0.317</v>
      </c>
      <c r="N24">
        <v>0.66900000000000004</v>
      </c>
      <c r="O24">
        <v>75.299800000000005</v>
      </c>
      <c r="P24">
        <v>0.36860700000000002</v>
      </c>
      <c r="Q24">
        <v>0.245752</v>
      </c>
      <c r="R24">
        <v>0.73905100000000001</v>
      </c>
      <c r="S24">
        <v>32164</v>
      </c>
      <c r="T24">
        <v>26530</v>
      </c>
      <c r="U24">
        <v>207043</v>
      </c>
      <c r="V24">
        <v>189477</v>
      </c>
      <c r="W24" s="4">
        <v>46191</v>
      </c>
      <c r="X24">
        <v>81348</v>
      </c>
      <c r="Y24">
        <v>6686</v>
      </c>
    </row>
    <row r="25" spans="1:25" x14ac:dyDescent="0.25">
      <c r="A25" s="2" t="s">
        <v>40</v>
      </c>
      <c r="B25">
        <v>1</v>
      </c>
      <c r="C25" s="4">
        <v>46164</v>
      </c>
      <c r="E25" s="3">
        <v>200</v>
      </c>
      <c r="F25" s="3">
        <v>160</v>
      </c>
      <c r="G25" s="3">
        <v>129</v>
      </c>
      <c r="H25" s="3">
        <v>17337626.549999997</v>
      </c>
      <c r="I25" s="3">
        <v>760614.74999999988</v>
      </c>
      <c r="J25" s="3">
        <v>-4683564320345.1104</v>
      </c>
      <c r="L25">
        <v>0.54600000000000004</v>
      </c>
      <c r="M25">
        <v>0.23699999999999999</v>
      </c>
      <c r="N25">
        <v>0.60499999999999998</v>
      </c>
      <c r="O25">
        <v>87.870099999999994</v>
      </c>
      <c r="P25">
        <v>0.38862099999999999</v>
      </c>
      <c r="Q25">
        <v>0.17368800000000001</v>
      </c>
      <c r="R25">
        <v>0.51445700000000005</v>
      </c>
      <c r="S25">
        <v>38542</v>
      </c>
      <c r="T25">
        <v>19601</v>
      </c>
      <c r="U25">
        <v>515728</v>
      </c>
      <c r="V25">
        <v>399312</v>
      </c>
      <c r="W25" s="4">
        <v>46191</v>
      </c>
      <c r="X25">
        <v>226212</v>
      </c>
      <c r="Y25">
        <v>8620</v>
      </c>
    </row>
    <row r="26" spans="1:25" x14ac:dyDescent="0.25">
      <c r="A26" s="2" t="s">
        <v>41</v>
      </c>
      <c r="B26">
        <v>1</v>
      </c>
      <c r="C26" s="4">
        <v>46164</v>
      </c>
      <c r="E26" s="3">
        <v>100</v>
      </c>
      <c r="F26" s="3">
        <v>75</v>
      </c>
      <c r="G26" s="3">
        <v>67</v>
      </c>
      <c r="H26" s="3">
        <v>52474884.719999991</v>
      </c>
      <c r="I26" s="3">
        <v>4122604.3000000007</v>
      </c>
      <c r="J26" s="3">
        <v>-2564819093928.8306</v>
      </c>
      <c r="L26">
        <v>0.55800000000000005</v>
      </c>
      <c r="M26">
        <v>0.27100000000000002</v>
      </c>
      <c r="N26">
        <v>0.748</v>
      </c>
      <c r="O26">
        <v>58.9803</v>
      </c>
      <c r="P26">
        <v>0.53141700000000003</v>
      </c>
      <c r="Q26">
        <v>0.143458</v>
      </c>
      <c r="R26">
        <v>0.95919699999999997</v>
      </c>
      <c r="S26">
        <v>161945</v>
      </c>
      <c r="T26">
        <v>52814</v>
      </c>
      <c r="U26">
        <v>866155</v>
      </c>
      <c r="V26">
        <v>613078</v>
      </c>
      <c r="W26" s="4">
        <v>46191</v>
      </c>
      <c r="X26">
        <v>282455</v>
      </c>
      <c r="Y26">
        <v>35490</v>
      </c>
    </row>
    <row r="27" spans="1:25" x14ac:dyDescent="0.25">
      <c r="A27" s="2" t="s">
        <v>42</v>
      </c>
      <c r="B27">
        <v>1</v>
      </c>
      <c r="C27" s="4">
        <v>46164</v>
      </c>
      <c r="E27" s="3">
        <v>200</v>
      </c>
      <c r="F27" s="3">
        <v>200</v>
      </c>
      <c r="G27" s="3">
        <v>192.5</v>
      </c>
      <c r="H27" s="3">
        <v>-44429089.999999985</v>
      </c>
      <c r="I27" s="3">
        <v>1884896.55</v>
      </c>
      <c r="J27" s="3">
        <v>-2736568734582.1792</v>
      </c>
      <c r="L27">
        <v>0.52100000000000002</v>
      </c>
      <c r="M27">
        <v>0.22600000000000001</v>
      </c>
      <c r="N27">
        <v>0.57799999999999996</v>
      </c>
      <c r="O27">
        <v>82.344700000000003</v>
      </c>
      <c r="P27">
        <v>0.34693800000000002</v>
      </c>
      <c r="Q27">
        <v>0.18377199999999999</v>
      </c>
      <c r="R27">
        <v>0.47109699999999999</v>
      </c>
      <c r="S27">
        <v>25374</v>
      </c>
      <c r="T27">
        <v>23348</v>
      </c>
      <c r="U27">
        <v>367883</v>
      </c>
      <c r="V27">
        <v>252842</v>
      </c>
      <c r="W27" s="4">
        <v>46191</v>
      </c>
      <c r="X27">
        <v>129976</v>
      </c>
      <c r="Y27">
        <v>4173</v>
      </c>
    </row>
    <row r="28" spans="1:25" x14ac:dyDescent="0.25">
      <c r="A28" s="2" t="s">
        <v>43</v>
      </c>
      <c r="B28">
        <v>3</v>
      </c>
      <c r="C28" s="4">
        <v>46164</v>
      </c>
      <c r="E28" s="3">
        <v>200</v>
      </c>
      <c r="F28" s="3">
        <v>84</v>
      </c>
      <c r="G28" s="3">
        <v>1</v>
      </c>
      <c r="H28" s="3">
        <v>8029966.4299999997</v>
      </c>
      <c r="I28" s="3">
        <v>1340663.48</v>
      </c>
      <c r="J28" s="3">
        <v>-1495926649735.9902</v>
      </c>
      <c r="L28">
        <v>1.264</v>
      </c>
      <c r="M28">
        <v>0.85799999999999998</v>
      </c>
      <c r="N28">
        <v>1.629</v>
      </c>
      <c r="O28">
        <v>53.3934</v>
      </c>
      <c r="P28">
        <v>1.5698920000000001</v>
      </c>
      <c r="Q28">
        <v>0.56312499999999999</v>
      </c>
      <c r="R28">
        <v>2.3195800000000002</v>
      </c>
      <c r="S28">
        <v>46231</v>
      </c>
      <c r="T28">
        <v>67168</v>
      </c>
      <c r="U28">
        <v>147922</v>
      </c>
      <c r="V28">
        <v>174750</v>
      </c>
      <c r="W28" s="4">
        <v>46164</v>
      </c>
      <c r="X28">
        <v>100947</v>
      </c>
      <c r="Y28">
        <v>34251</v>
      </c>
    </row>
    <row r="29" spans="1:25" x14ac:dyDescent="0.25">
      <c r="A29" s="2" t="s">
        <v>44</v>
      </c>
      <c r="B29">
        <v>1</v>
      </c>
      <c r="C29" s="4">
        <v>46164</v>
      </c>
      <c r="E29" s="3">
        <v>220</v>
      </c>
      <c r="F29" s="3">
        <v>200</v>
      </c>
      <c r="G29" s="3">
        <v>111</v>
      </c>
      <c r="H29" s="3">
        <v>-7175843.7300000023</v>
      </c>
      <c r="I29" s="3">
        <v>-1707298.9899999998</v>
      </c>
      <c r="J29" s="3">
        <v>2276006.9799999855</v>
      </c>
      <c r="L29">
        <v>0.78800000000000003</v>
      </c>
      <c r="M29">
        <v>0.251</v>
      </c>
      <c r="N29">
        <v>0.81</v>
      </c>
      <c r="O29">
        <v>96.6571</v>
      </c>
      <c r="P29">
        <v>1.023039</v>
      </c>
      <c r="Q29">
        <v>0.162462</v>
      </c>
      <c r="R29">
        <v>1.023039</v>
      </c>
      <c r="S29">
        <v>302897</v>
      </c>
      <c r="T29">
        <v>112118</v>
      </c>
      <c r="U29">
        <v>636773</v>
      </c>
      <c r="V29">
        <v>455738</v>
      </c>
      <c r="W29" s="4">
        <v>46191</v>
      </c>
      <c r="X29">
        <v>255107</v>
      </c>
      <c r="Y29">
        <v>69505</v>
      </c>
    </row>
    <row r="30" spans="1:25" x14ac:dyDescent="0.25">
      <c r="A30" s="2" t="s">
        <v>45</v>
      </c>
      <c r="B30">
        <v>1</v>
      </c>
      <c r="C30" s="4">
        <v>46164</v>
      </c>
      <c r="E30" s="3">
        <v>800</v>
      </c>
      <c r="F30" s="3">
        <v>400</v>
      </c>
      <c r="G30" s="3">
        <v>255</v>
      </c>
      <c r="H30" s="3">
        <v>-32451823.110000003</v>
      </c>
      <c r="I30" s="3">
        <v>4203905.7700000005</v>
      </c>
      <c r="J30" s="3">
        <v>-47701444650590.461</v>
      </c>
      <c r="L30">
        <v>0.85099999999999998</v>
      </c>
      <c r="M30">
        <v>0.38100000000000001</v>
      </c>
      <c r="N30">
        <v>0.995</v>
      </c>
      <c r="O30">
        <v>77.394999999999996</v>
      </c>
      <c r="P30">
        <v>0.862008</v>
      </c>
      <c r="Q30">
        <v>0.28071200000000002</v>
      </c>
      <c r="R30">
        <v>0.89068099999999994</v>
      </c>
      <c r="S30">
        <v>524198</v>
      </c>
      <c r="T30">
        <v>480517</v>
      </c>
      <c r="U30">
        <v>1522249</v>
      </c>
      <c r="V30">
        <v>1834576</v>
      </c>
      <c r="W30" s="4">
        <v>46191</v>
      </c>
      <c r="X30">
        <v>667028</v>
      </c>
      <c r="Y30">
        <v>38197</v>
      </c>
    </row>
    <row r="31" spans="1:25" x14ac:dyDescent="0.25">
      <c r="A31" s="2" t="s">
        <v>46</v>
      </c>
      <c r="B31">
        <v>1</v>
      </c>
      <c r="C31" s="4">
        <v>46164</v>
      </c>
      <c r="E31" s="3">
        <v>400</v>
      </c>
      <c r="F31" s="3">
        <v>400</v>
      </c>
      <c r="G31" s="3">
        <v>105</v>
      </c>
      <c r="H31" s="3">
        <v>80069109.420000017</v>
      </c>
      <c r="I31" s="3">
        <v>6635813.8199999994</v>
      </c>
      <c r="J31" s="3">
        <v>-11501477899079.99</v>
      </c>
      <c r="L31">
        <v>0.41699999999999998</v>
      </c>
      <c r="M31">
        <v>0.28999999999999998</v>
      </c>
      <c r="N31">
        <v>0.50800000000000001</v>
      </c>
      <c r="O31">
        <v>58.498399999999997</v>
      </c>
      <c r="P31">
        <v>0.402368</v>
      </c>
      <c r="Q31">
        <v>0.21596299999999999</v>
      </c>
      <c r="R31">
        <v>0.50335200000000002</v>
      </c>
      <c r="S31">
        <v>53079</v>
      </c>
      <c r="T31">
        <v>79112</v>
      </c>
      <c r="U31">
        <v>810353</v>
      </c>
      <c r="V31">
        <v>1004251</v>
      </c>
      <c r="W31" s="4">
        <v>46191</v>
      </c>
      <c r="X31">
        <v>371773</v>
      </c>
      <c r="Y31">
        <v>10578</v>
      </c>
    </row>
    <row r="32" spans="1:25" x14ac:dyDescent="0.25">
      <c r="A32" s="2" t="s">
        <v>47</v>
      </c>
      <c r="B32">
        <v>2</v>
      </c>
      <c r="C32" s="4">
        <v>46164</v>
      </c>
      <c r="E32" s="3">
        <v>490</v>
      </c>
      <c r="F32" s="3">
        <v>300</v>
      </c>
      <c r="G32" s="3">
        <v>302.5</v>
      </c>
      <c r="H32" s="3">
        <v>-1823574.32</v>
      </c>
      <c r="I32" s="3">
        <v>235286.85000000003</v>
      </c>
      <c r="J32" s="3">
        <v>-42207960201.789993</v>
      </c>
      <c r="L32">
        <v>0.54400000000000004</v>
      </c>
      <c r="M32">
        <v>0.28000000000000003</v>
      </c>
      <c r="N32">
        <v>0.67500000000000004</v>
      </c>
      <c r="O32">
        <v>66.683499999999995</v>
      </c>
      <c r="P32">
        <v>0.53873300000000002</v>
      </c>
      <c r="Q32">
        <v>0.221634</v>
      </c>
      <c r="R32">
        <v>0.60054600000000002</v>
      </c>
      <c r="S32">
        <v>22721</v>
      </c>
      <c r="T32">
        <v>24607</v>
      </c>
      <c r="U32">
        <v>188024</v>
      </c>
      <c r="V32">
        <v>185580</v>
      </c>
      <c r="W32" s="4">
        <v>46191</v>
      </c>
      <c r="X32">
        <v>88592</v>
      </c>
      <c r="Y32">
        <v>6103</v>
      </c>
    </row>
    <row r="33" spans="1:25" x14ac:dyDescent="0.25">
      <c r="A33" s="2" t="s">
        <v>48</v>
      </c>
      <c r="B33">
        <v>1</v>
      </c>
      <c r="C33" s="4">
        <v>46164</v>
      </c>
      <c r="E33" s="3">
        <v>400</v>
      </c>
      <c r="F33" s="3">
        <v>200</v>
      </c>
      <c r="G33" s="3">
        <v>217.5</v>
      </c>
      <c r="H33" s="3">
        <v>-13965361.560000001</v>
      </c>
      <c r="I33" s="3">
        <v>-4909822.5500000007</v>
      </c>
      <c r="J33" s="3">
        <v>348648993.00000006</v>
      </c>
      <c r="L33">
        <v>0.67100000000000004</v>
      </c>
      <c r="M33">
        <v>0.38700000000000001</v>
      </c>
      <c r="N33">
        <v>0.73299999999999998</v>
      </c>
      <c r="O33">
        <v>82.399600000000007</v>
      </c>
      <c r="P33">
        <v>0.96585799999999999</v>
      </c>
      <c r="Q33">
        <v>0.31648700000000002</v>
      </c>
      <c r="R33">
        <v>0.98480800000000002</v>
      </c>
      <c r="S33">
        <v>586572</v>
      </c>
      <c r="T33">
        <v>304991</v>
      </c>
      <c r="U33">
        <v>1598814</v>
      </c>
      <c r="V33">
        <v>1709886</v>
      </c>
      <c r="W33" s="4">
        <v>46191</v>
      </c>
      <c r="X33">
        <v>661745</v>
      </c>
      <c r="Y33">
        <v>55820</v>
      </c>
    </row>
    <row r="34" spans="1:25" x14ac:dyDescent="0.25">
      <c r="A34" s="2" t="s">
        <v>49</v>
      </c>
      <c r="B34">
        <v>2</v>
      </c>
      <c r="C34" s="4">
        <v>46164</v>
      </c>
      <c r="E34" s="3">
        <v>50</v>
      </c>
      <c r="F34" s="3">
        <v>15</v>
      </c>
      <c r="G34" s="3">
        <v>59</v>
      </c>
      <c r="H34" s="3">
        <v>351112668.95999998</v>
      </c>
      <c r="I34" s="3">
        <v>13882382.379999999</v>
      </c>
      <c r="J34" s="3">
        <v>-6111544540003.3887</v>
      </c>
      <c r="L34">
        <v>0.78700000000000003</v>
      </c>
      <c r="M34">
        <v>0.38200000000000001</v>
      </c>
      <c r="N34">
        <v>0.96499999999999997</v>
      </c>
      <c r="O34">
        <v>71.254599999999996</v>
      </c>
      <c r="P34">
        <v>1.1173999999999999</v>
      </c>
      <c r="Q34">
        <v>0.33862500000000001</v>
      </c>
      <c r="R34">
        <v>1.1350359999999999</v>
      </c>
      <c r="S34">
        <v>477628</v>
      </c>
      <c r="T34">
        <v>327384</v>
      </c>
      <c r="U34">
        <v>2899377</v>
      </c>
      <c r="V34">
        <v>3127750</v>
      </c>
      <c r="W34" s="4">
        <v>46191</v>
      </c>
      <c r="X34">
        <v>1442570</v>
      </c>
      <c r="Y34">
        <v>79391</v>
      </c>
    </row>
    <row r="35" spans="1:25" x14ac:dyDescent="0.25">
      <c r="A35" s="2" t="s">
        <v>50</v>
      </c>
      <c r="B35">
        <v>2</v>
      </c>
      <c r="C35" s="4">
        <v>46164</v>
      </c>
      <c r="E35" s="3">
        <v>35</v>
      </c>
      <c r="F35" s="3">
        <v>10</v>
      </c>
      <c r="G35" s="3">
        <v>6</v>
      </c>
      <c r="H35" s="3">
        <v>40915494.630000018</v>
      </c>
      <c r="I35" s="3">
        <v>912989.33999999939</v>
      </c>
      <c r="J35" s="3">
        <v>160906575881.45999</v>
      </c>
      <c r="L35">
        <v>0.749</v>
      </c>
      <c r="M35">
        <v>0.52</v>
      </c>
      <c r="N35">
        <v>1.0900000000000001</v>
      </c>
      <c r="O35">
        <v>41.643900000000002</v>
      </c>
      <c r="P35">
        <v>1.016076</v>
      </c>
      <c r="Q35">
        <v>0.33257599999999998</v>
      </c>
      <c r="R35">
        <v>1.612304</v>
      </c>
      <c r="S35">
        <v>437316</v>
      </c>
      <c r="T35">
        <v>64352</v>
      </c>
      <c r="U35">
        <v>1180940</v>
      </c>
      <c r="V35">
        <v>1049600</v>
      </c>
      <c r="W35" s="4">
        <v>46402</v>
      </c>
      <c r="X35">
        <v>555596</v>
      </c>
      <c r="Y35">
        <v>18773</v>
      </c>
    </row>
    <row r="36" spans="1:25" x14ac:dyDescent="0.25">
      <c r="A36" s="2" t="s">
        <v>51</v>
      </c>
      <c r="B36">
        <v>1</v>
      </c>
      <c r="C36" s="4">
        <v>46164</v>
      </c>
      <c r="E36" s="3">
        <v>420</v>
      </c>
      <c r="F36" s="3">
        <v>300</v>
      </c>
      <c r="G36" s="3">
        <v>86</v>
      </c>
      <c r="H36" s="3">
        <v>-476628.31999999989</v>
      </c>
      <c r="I36" s="3">
        <v>-84676.77</v>
      </c>
      <c r="J36" s="3">
        <v>9239496.4500000011</v>
      </c>
      <c r="L36">
        <v>0.53300000000000003</v>
      </c>
      <c r="M36">
        <v>0.34699999999999998</v>
      </c>
      <c r="N36">
        <v>0.66300000000000003</v>
      </c>
      <c r="O36">
        <v>59.1875</v>
      </c>
      <c r="P36">
        <v>0.39333699999999999</v>
      </c>
      <c r="Q36">
        <v>0.23294500000000001</v>
      </c>
      <c r="R36">
        <v>0.70370900000000003</v>
      </c>
      <c r="S36">
        <v>112859</v>
      </c>
      <c r="T36">
        <v>95761</v>
      </c>
      <c r="U36">
        <v>916905</v>
      </c>
      <c r="V36">
        <v>1037905</v>
      </c>
      <c r="W36" s="4">
        <v>46191</v>
      </c>
      <c r="X36">
        <v>351381</v>
      </c>
      <c r="Y36">
        <v>19671</v>
      </c>
    </row>
    <row r="37" spans="1:25" x14ac:dyDescent="0.25">
      <c r="A37" s="2" t="s">
        <v>52</v>
      </c>
      <c r="B37">
        <v>3</v>
      </c>
      <c r="C37" s="4">
        <v>46164</v>
      </c>
      <c r="E37" s="3">
        <v>8</v>
      </c>
      <c r="F37" s="3">
        <v>25</v>
      </c>
      <c r="G37" s="3">
        <v>2</v>
      </c>
      <c r="H37" s="3">
        <v>5081030.910000002</v>
      </c>
      <c r="I37" s="3">
        <v>552847.86</v>
      </c>
      <c r="J37" s="3">
        <v>18687598782.400002</v>
      </c>
      <c r="L37">
        <v>0.98299999999999998</v>
      </c>
      <c r="M37">
        <v>0.80100000000000005</v>
      </c>
      <c r="N37">
        <v>1.4330000000000001</v>
      </c>
      <c r="O37">
        <v>32.568100000000001</v>
      </c>
      <c r="P37">
        <v>1.1818569999999999</v>
      </c>
      <c r="Q37">
        <v>0.67335299999999998</v>
      </c>
      <c r="R37">
        <v>1.9190739999999999</v>
      </c>
      <c r="S37">
        <v>82334</v>
      </c>
      <c r="T37">
        <v>53028</v>
      </c>
      <c r="U37">
        <v>530371</v>
      </c>
      <c r="V37">
        <v>295866</v>
      </c>
      <c r="W37" s="4">
        <v>46402</v>
      </c>
      <c r="X37">
        <v>218389</v>
      </c>
      <c r="Y37">
        <v>1884</v>
      </c>
    </row>
    <row r="38" spans="1:25" x14ac:dyDescent="0.25">
      <c r="A38" s="2" t="s">
        <v>53</v>
      </c>
      <c r="B38">
        <v>3</v>
      </c>
      <c r="C38" s="4">
        <v>46164</v>
      </c>
      <c r="E38" s="3">
        <v>260</v>
      </c>
      <c r="F38" s="3">
        <v>217.5</v>
      </c>
      <c r="G38" s="3">
        <v>122</v>
      </c>
      <c r="H38" s="3">
        <v>-926068.8</v>
      </c>
      <c r="I38" s="3">
        <v>-592461.55999999994</v>
      </c>
      <c r="J38" s="3">
        <v>-354742699519.45001</v>
      </c>
      <c r="L38">
        <v>1.0940000000000001</v>
      </c>
      <c r="M38">
        <v>0.65</v>
      </c>
      <c r="N38">
        <v>1.4530000000000001</v>
      </c>
      <c r="O38">
        <v>55.982999999999997</v>
      </c>
      <c r="P38">
        <v>1.1623790000000001</v>
      </c>
      <c r="Q38">
        <v>0.53415299999999999</v>
      </c>
      <c r="R38">
        <v>1.3980760000000001</v>
      </c>
      <c r="S38">
        <v>40437</v>
      </c>
      <c r="T38">
        <v>89366</v>
      </c>
      <c r="U38">
        <v>355143</v>
      </c>
      <c r="V38">
        <v>489091</v>
      </c>
      <c r="W38" s="4">
        <v>46191</v>
      </c>
      <c r="X38">
        <v>217016</v>
      </c>
      <c r="Y38">
        <v>14993</v>
      </c>
    </row>
    <row r="39" spans="1:25" x14ac:dyDescent="0.25">
      <c r="A39" s="2" t="s">
        <v>54</v>
      </c>
      <c r="B39">
        <v>1</v>
      </c>
      <c r="C39" s="4">
        <v>46164</v>
      </c>
      <c r="E39" s="3">
        <v>60</v>
      </c>
      <c r="F39" s="3">
        <v>45</v>
      </c>
      <c r="G39" s="3">
        <v>33</v>
      </c>
      <c r="H39" s="3">
        <v>-56263253.270000003</v>
      </c>
      <c r="I39" s="3">
        <v>5180403.169999999</v>
      </c>
      <c r="J39" s="3">
        <v>-48682765.339999989</v>
      </c>
      <c r="L39">
        <v>0.29199999999999998</v>
      </c>
      <c r="M39">
        <v>0.17599999999999999</v>
      </c>
      <c r="N39">
        <v>0.34</v>
      </c>
      <c r="O39">
        <v>72.575699999999998</v>
      </c>
      <c r="P39">
        <v>0.27043699999999998</v>
      </c>
      <c r="Q39">
        <v>0.112399</v>
      </c>
      <c r="R39">
        <v>0.278499</v>
      </c>
      <c r="S39">
        <v>94802</v>
      </c>
      <c r="T39">
        <v>154082</v>
      </c>
      <c r="U39">
        <v>1850979</v>
      </c>
      <c r="V39">
        <v>3222884</v>
      </c>
      <c r="W39" s="4">
        <v>46191</v>
      </c>
      <c r="X39">
        <v>1540571</v>
      </c>
      <c r="Y39">
        <v>37832</v>
      </c>
    </row>
    <row r="40" spans="1:25" x14ac:dyDescent="0.25">
      <c r="A40" s="2" t="s">
        <v>55</v>
      </c>
      <c r="B40">
        <v>2</v>
      </c>
      <c r="C40" s="4">
        <v>46164</v>
      </c>
      <c r="E40" s="3">
        <v>150</v>
      </c>
      <c r="F40" s="3">
        <v>60</v>
      </c>
      <c r="G40" s="3">
        <v>2.5</v>
      </c>
      <c r="H40" s="3">
        <v>39619442.789999992</v>
      </c>
      <c r="I40" s="3">
        <v>3532784.7899999986</v>
      </c>
      <c r="J40" s="3">
        <v>-2524569180513.1196</v>
      </c>
      <c r="L40">
        <v>0.997</v>
      </c>
      <c r="M40">
        <v>0.66700000000000004</v>
      </c>
      <c r="N40">
        <v>1.1359999999999999</v>
      </c>
      <c r="O40">
        <v>68.792000000000002</v>
      </c>
      <c r="P40">
        <v>1.3321400000000001</v>
      </c>
      <c r="Q40">
        <v>0.49542599999999998</v>
      </c>
      <c r="R40">
        <v>1.346719</v>
      </c>
      <c r="S40">
        <v>192472</v>
      </c>
      <c r="T40">
        <v>93384</v>
      </c>
      <c r="U40">
        <v>561785</v>
      </c>
      <c r="V40">
        <v>440911</v>
      </c>
      <c r="W40" s="4">
        <v>46402</v>
      </c>
      <c r="X40">
        <v>196093</v>
      </c>
      <c r="Y40">
        <v>6233</v>
      </c>
    </row>
    <row r="41" spans="1:25" x14ac:dyDescent="0.25">
      <c r="A41" s="2" t="s">
        <v>56</v>
      </c>
      <c r="B41">
        <v>2</v>
      </c>
      <c r="C41" s="4">
        <v>46164</v>
      </c>
      <c r="E41" s="3">
        <v>25</v>
      </c>
      <c r="F41" s="3">
        <v>15</v>
      </c>
      <c r="G41" s="3">
        <v>7.5</v>
      </c>
      <c r="H41" s="3">
        <v>12264559.249999996</v>
      </c>
      <c r="I41" s="3">
        <v>622976.10999999987</v>
      </c>
      <c r="J41" s="3">
        <v>-1241965167580.3398</v>
      </c>
      <c r="L41">
        <v>0.78800000000000003</v>
      </c>
      <c r="M41">
        <v>0.66600000000000004</v>
      </c>
      <c r="N41">
        <v>1.1220000000000001</v>
      </c>
      <c r="O41">
        <v>28.270900000000001</v>
      </c>
      <c r="P41">
        <v>0.86510100000000001</v>
      </c>
      <c r="Q41">
        <v>0.52294700000000005</v>
      </c>
      <c r="R41">
        <v>1.2444189999999999</v>
      </c>
      <c r="S41">
        <v>55244</v>
      </c>
      <c r="T41">
        <v>61117</v>
      </c>
      <c r="U41">
        <v>554991</v>
      </c>
      <c r="V41">
        <v>285163</v>
      </c>
      <c r="W41" s="4">
        <v>46191</v>
      </c>
      <c r="X41">
        <v>275777</v>
      </c>
      <c r="Y41">
        <v>7707</v>
      </c>
    </row>
    <row r="42" spans="1:25" x14ac:dyDescent="0.25">
      <c r="A42" s="2" t="s">
        <v>57</v>
      </c>
      <c r="B42">
        <v>2</v>
      </c>
      <c r="C42" s="4">
        <v>46164</v>
      </c>
      <c r="E42" s="3"/>
      <c r="F42" s="3"/>
      <c r="G42" s="3">
        <v>15</v>
      </c>
      <c r="H42" s="3">
        <v>-21977638.819999978</v>
      </c>
      <c r="I42" s="3">
        <v>4284208.4399999995</v>
      </c>
      <c r="J42" s="3">
        <v>-2757246868649.0303</v>
      </c>
      <c r="L42">
        <v>0.63100000000000001</v>
      </c>
      <c r="M42">
        <v>0.47699999999999998</v>
      </c>
      <c r="N42">
        <v>0.95699999999999996</v>
      </c>
      <c r="O42">
        <v>32.549300000000002</v>
      </c>
      <c r="P42">
        <v>0.64993900000000004</v>
      </c>
      <c r="Q42">
        <v>0.380583</v>
      </c>
      <c r="R42">
        <v>1.228315</v>
      </c>
      <c r="S42">
        <v>144266</v>
      </c>
      <c r="T42">
        <v>64861</v>
      </c>
      <c r="U42">
        <v>669555</v>
      </c>
      <c r="V42">
        <v>495557</v>
      </c>
      <c r="W42" s="4">
        <v>46191</v>
      </c>
      <c r="X42">
        <v>233196</v>
      </c>
      <c r="Y42">
        <v>14435</v>
      </c>
    </row>
    <row r="43" spans="1:25" x14ac:dyDescent="0.25">
      <c r="A43" s="2" t="s">
        <v>58</v>
      </c>
      <c r="B43">
        <v>2</v>
      </c>
      <c r="C43" s="4">
        <v>46164</v>
      </c>
      <c r="E43" s="3">
        <v>180</v>
      </c>
      <c r="F43" s="3">
        <v>5</v>
      </c>
      <c r="G43" s="3">
        <v>6</v>
      </c>
      <c r="H43" s="3">
        <v>-39853546.429999992</v>
      </c>
      <c r="I43" s="3">
        <v>9839553.6500000004</v>
      </c>
      <c r="J43" s="3">
        <v>-8272502409475.8398</v>
      </c>
      <c r="L43">
        <v>0.61099999999999999</v>
      </c>
      <c r="M43">
        <v>0.436</v>
      </c>
      <c r="N43">
        <v>1.264</v>
      </c>
      <c r="O43">
        <v>21.563400000000001</v>
      </c>
      <c r="P43">
        <v>0.62621700000000002</v>
      </c>
      <c r="Q43">
        <v>0.32463900000000001</v>
      </c>
      <c r="R43">
        <v>1.310859</v>
      </c>
      <c r="S43">
        <v>288402</v>
      </c>
      <c r="T43">
        <v>153961</v>
      </c>
      <c r="U43">
        <v>1388885</v>
      </c>
      <c r="V43">
        <v>1264846</v>
      </c>
      <c r="W43" s="4">
        <v>46191</v>
      </c>
      <c r="X43">
        <v>695133</v>
      </c>
      <c r="Y43">
        <v>30462</v>
      </c>
    </row>
    <row r="44" spans="1:25" x14ac:dyDescent="0.25">
      <c r="A44" s="2" t="s">
        <v>59</v>
      </c>
      <c r="B44">
        <v>2</v>
      </c>
      <c r="C44" s="4">
        <v>46164</v>
      </c>
      <c r="E44" s="3">
        <v>200</v>
      </c>
      <c r="F44" s="3">
        <v>140</v>
      </c>
      <c r="G44" s="3">
        <v>109</v>
      </c>
      <c r="H44" s="3">
        <v>40439254.039999992</v>
      </c>
      <c r="I44" s="3">
        <v>1260239.9899999995</v>
      </c>
      <c r="J44" s="3">
        <v>-75575631975.999985</v>
      </c>
      <c r="L44">
        <v>0.80800000000000005</v>
      </c>
      <c r="M44">
        <v>0.30399999999999999</v>
      </c>
      <c r="N44">
        <v>0.875</v>
      </c>
      <c r="O44">
        <v>86.764499999999998</v>
      </c>
      <c r="P44">
        <v>0.51047600000000004</v>
      </c>
      <c r="Q44">
        <v>0.195775</v>
      </c>
      <c r="R44">
        <v>0.871147</v>
      </c>
      <c r="S44">
        <v>42680</v>
      </c>
      <c r="T44">
        <v>15765</v>
      </c>
      <c r="U44">
        <v>319669</v>
      </c>
      <c r="V44">
        <v>259367</v>
      </c>
      <c r="W44" s="4">
        <v>46191</v>
      </c>
      <c r="X44">
        <v>108665</v>
      </c>
      <c r="Y44">
        <v>8053</v>
      </c>
    </row>
    <row r="45" spans="1:25" x14ac:dyDescent="0.25">
      <c r="A45" s="2" t="s">
        <v>60</v>
      </c>
      <c r="B45">
        <v>2</v>
      </c>
      <c r="C45" s="4">
        <v>46164</v>
      </c>
      <c r="E45" s="3">
        <v>1100</v>
      </c>
      <c r="F45" s="3">
        <v>700</v>
      </c>
      <c r="G45" s="3">
        <v>350</v>
      </c>
      <c r="H45" s="3">
        <v>124918182.49999996</v>
      </c>
      <c r="I45" s="3">
        <v>4334655.0100000007</v>
      </c>
      <c r="J45" s="3">
        <v>524889389554.92023</v>
      </c>
      <c r="L45">
        <v>0.313</v>
      </c>
      <c r="M45">
        <v>0.26700000000000002</v>
      </c>
      <c r="N45">
        <v>0.48</v>
      </c>
      <c r="O45">
        <v>19.577400000000001</v>
      </c>
      <c r="P45">
        <v>0.45613700000000001</v>
      </c>
      <c r="Q45">
        <v>0.19935900000000001</v>
      </c>
      <c r="R45">
        <v>0.67494200000000004</v>
      </c>
      <c r="S45">
        <v>40647</v>
      </c>
      <c r="T45">
        <v>15716</v>
      </c>
      <c r="U45">
        <v>169732</v>
      </c>
      <c r="V45">
        <v>190855</v>
      </c>
      <c r="W45" s="4">
        <v>46191</v>
      </c>
      <c r="X45">
        <v>85906</v>
      </c>
      <c r="Y45">
        <v>8027</v>
      </c>
    </row>
    <row r="46" spans="1:25" x14ac:dyDescent="0.25">
      <c r="A46" s="2" t="s">
        <v>61</v>
      </c>
      <c r="B46">
        <v>2</v>
      </c>
      <c r="C46" s="4">
        <v>46164</v>
      </c>
      <c r="E46" s="3">
        <v>230</v>
      </c>
      <c r="F46" s="3">
        <v>210</v>
      </c>
      <c r="G46" s="3">
        <v>202.5</v>
      </c>
      <c r="H46" s="3">
        <v>95944289.12000002</v>
      </c>
      <c r="I46" s="3">
        <v>1065685.1500000001</v>
      </c>
      <c r="J46" s="3">
        <v>-1145072968784.55</v>
      </c>
      <c r="L46">
        <v>0.20499999999999999</v>
      </c>
      <c r="M46">
        <v>0.123</v>
      </c>
      <c r="N46">
        <v>0.29299999999999998</v>
      </c>
      <c r="O46">
        <v>48.759399999999999</v>
      </c>
      <c r="P46">
        <v>0.179954</v>
      </c>
      <c r="Q46">
        <v>9.6906000000000006E-2</v>
      </c>
      <c r="R46">
        <v>0.26283200000000001</v>
      </c>
      <c r="S46">
        <v>81371</v>
      </c>
      <c r="T46">
        <v>8380</v>
      </c>
      <c r="U46">
        <v>193322</v>
      </c>
      <c r="V46">
        <v>160063</v>
      </c>
      <c r="W46" s="4">
        <v>46191</v>
      </c>
      <c r="X46">
        <v>88024</v>
      </c>
      <c r="Y46">
        <v>50199</v>
      </c>
    </row>
    <row r="47" spans="1:25" x14ac:dyDescent="0.25">
      <c r="A47" s="2" t="s">
        <v>62</v>
      </c>
      <c r="B47">
        <v>2</v>
      </c>
      <c r="C47" s="4">
        <v>46164</v>
      </c>
      <c r="E47" s="3">
        <v>400</v>
      </c>
      <c r="F47" s="3">
        <v>200</v>
      </c>
      <c r="G47" s="3">
        <v>205</v>
      </c>
      <c r="H47" s="3">
        <v>171768018.04000005</v>
      </c>
      <c r="I47" s="3">
        <v>5715393.0300000003</v>
      </c>
      <c r="J47" s="3">
        <v>-3656849631991.5088</v>
      </c>
      <c r="L47">
        <v>0.26400000000000001</v>
      </c>
      <c r="M47">
        <v>0.246</v>
      </c>
      <c r="N47">
        <v>0.54500000000000004</v>
      </c>
      <c r="O47">
        <v>6.3456999999999999</v>
      </c>
      <c r="P47">
        <v>0.22725100000000001</v>
      </c>
      <c r="Q47">
        <v>0.205176</v>
      </c>
      <c r="R47">
        <v>0.913601</v>
      </c>
      <c r="S47">
        <v>40189</v>
      </c>
      <c r="T47">
        <v>19860</v>
      </c>
      <c r="U47">
        <v>742852</v>
      </c>
      <c r="V47">
        <v>498402</v>
      </c>
      <c r="W47" s="4">
        <v>46191</v>
      </c>
      <c r="X47">
        <v>305668</v>
      </c>
      <c r="Y47">
        <v>7711</v>
      </c>
    </row>
    <row r="48" spans="1:25" x14ac:dyDescent="0.25">
      <c r="A48" s="2" t="s">
        <v>63</v>
      </c>
      <c r="B48">
        <v>2</v>
      </c>
      <c r="C48" s="4">
        <v>46164</v>
      </c>
      <c r="E48" s="3">
        <v>130</v>
      </c>
      <c r="F48" s="3">
        <v>105</v>
      </c>
      <c r="G48" s="3">
        <v>99</v>
      </c>
      <c r="H48" s="3">
        <v>24925509.219999995</v>
      </c>
      <c r="I48" s="3">
        <v>1204612.46</v>
      </c>
      <c r="J48" s="3">
        <v>-611609666560.02002</v>
      </c>
      <c r="L48">
        <v>0.32200000000000001</v>
      </c>
      <c r="M48">
        <v>0.28399999999999997</v>
      </c>
      <c r="N48">
        <v>0.53500000000000003</v>
      </c>
      <c r="O48">
        <v>15.5374</v>
      </c>
      <c r="P48">
        <v>0.35566300000000001</v>
      </c>
      <c r="Q48">
        <v>0.16780300000000001</v>
      </c>
      <c r="R48">
        <v>0.40759499999999999</v>
      </c>
      <c r="S48">
        <v>23318</v>
      </c>
      <c r="T48">
        <v>11141</v>
      </c>
      <c r="U48">
        <v>313858</v>
      </c>
      <c r="V48">
        <v>258550</v>
      </c>
      <c r="W48" s="4">
        <v>46402</v>
      </c>
      <c r="X48">
        <v>121180</v>
      </c>
      <c r="Y48">
        <v>985</v>
      </c>
    </row>
    <row r="49" spans="1:25" x14ac:dyDescent="0.25">
      <c r="A49" s="2" t="s">
        <v>64</v>
      </c>
      <c r="B49">
        <v>2</v>
      </c>
      <c r="C49" s="4">
        <v>46164</v>
      </c>
      <c r="E49" s="3">
        <v>360</v>
      </c>
      <c r="F49" s="3">
        <v>300</v>
      </c>
      <c r="G49" s="3">
        <v>155</v>
      </c>
      <c r="H49" s="3">
        <v>48468680.569999985</v>
      </c>
      <c r="I49" s="3">
        <v>1064182.7</v>
      </c>
      <c r="J49" s="3">
        <v>-1817217007261.4302</v>
      </c>
      <c r="L49">
        <v>0.28799999999999998</v>
      </c>
      <c r="M49">
        <v>0.17499999999999999</v>
      </c>
      <c r="N49">
        <v>0.35299999999999998</v>
      </c>
      <c r="O49">
        <v>63.870600000000003</v>
      </c>
      <c r="P49">
        <v>0.26913700000000002</v>
      </c>
      <c r="Q49">
        <v>9.7514000000000003E-2</v>
      </c>
      <c r="R49">
        <v>0.34395900000000001</v>
      </c>
      <c r="S49">
        <v>19198</v>
      </c>
      <c r="T49">
        <v>8684</v>
      </c>
      <c r="U49">
        <v>178329</v>
      </c>
      <c r="V49">
        <v>130287</v>
      </c>
      <c r="W49" s="4">
        <v>46191</v>
      </c>
      <c r="X49">
        <v>73466</v>
      </c>
      <c r="Y49">
        <v>2409</v>
      </c>
    </row>
    <row r="50" spans="1:25" x14ac:dyDescent="0.25">
      <c r="A50" s="2" t="s">
        <v>65</v>
      </c>
      <c r="B50">
        <v>2</v>
      </c>
      <c r="C50" s="4">
        <v>46164</v>
      </c>
      <c r="E50" s="3">
        <v>1100</v>
      </c>
      <c r="F50" s="3">
        <v>800</v>
      </c>
      <c r="G50" s="3">
        <v>725</v>
      </c>
      <c r="H50" s="3">
        <v>-10716910.900000002</v>
      </c>
      <c r="I50" s="3">
        <v>3208517.4899999998</v>
      </c>
      <c r="J50" s="3">
        <v>-940833862780.76013</v>
      </c>
      <c r="L50">
        <v>0.25700000000000001</v>
      </c>
      <c r="M50">
        <v>0.17299999999999999</v>
      </c>
      <c r="N50">
        <v>0.29799999999999999</v>
      </c>
      <c r="O50">
        <v>65.476200000000006</v>
      </c>
      <c r="P50">
        <v>0.23124400000000001</v>
      </c>
      <c r="Q50">
        <v>0.104446</v>
      </c>
      <c r="R50">
        <v>0.23422100000000001</v>
      </c>
      <c r="S50">
        <v>18321</v>
      </c>
      <c r="T50">
        <v>32751</v>
      </c>
      <c r="U50">
        <v>119987</v>
      </c>
      <c r="V50">
        <v>167350</v>
      </c>
      <c r="W50" s="4">
        <v>46164</v>
      </c>
      <c r="X50">
        <v>61610</v>
      </c>
      <c r="Y50">
        <v>16644</v>
      </c>
    </row>
    <row r="51" spans="1:25" x14ac:dyDescent="0.25">
      <c r="A51" s="2" t="s">
        <v>66</v>
      </c>
      <c r="B51">
        <v>2</v>
      </c>
      <c r="C51" s="4">
        <v>46164</v>
      </c>
      <c r="E51" s="3">
        <v>135</v>
      </c>
      <c r="F51" s="3">
        <v>110</v>
      </c>
      <c r="G51" s="3">
        <v>109</v>
      </c>
      <c r="H51" s="3">
        <v>-135237285.50000003</v>
      </c>
      <c r="I51" s="3">
        <v>5158001.3899999997</v>
      </c>
      <c r="J51" s="3">
        <v>-1637989561120.6299</v>
      </c>
      <c r="L51">
        <v>0.24399999999999999</v>
      </c>
      <c r="M51">
        <v>0.18</v>
      </c>
      <c r="N51">
        <v>0.36899999999999999</v>
      </c>
      <c r="O51">
        <v>31.936900000000001</v>
      </c>
      <c r="P51">
        <v>0.33721499999999999</v>
      </c>
      <c r="Q51">
        <v>9.0486999999999998E-2</v>
      </c>
      <c r="R51">
        <v>0.34728700000000001</v>
      </c>
      <c r="S51">
        <v>137226</v>
      </c>
      <c r="T51">
        <v>90553</v>
      </c>
      <c r="U51">
        <v>517107</v>
      </c>
      <c r="V51">
        <v>534719</v>
      </c>
      <c r="W51" s="4">
        <v>46191</v>
      </c>
      <c r="X51">
        <v>255953</v>
      </c>
      <c r="Y51">
        <v>30036</v>
      </c>
    </row>
    <row r="52" spans="1:25" x14ac:dyDescent="0.25">
      <c r="A52" s="2" t="s">
        <v>67</v>
      </c>
      <c r="B52">
        <v>1</v>
      </c>
      <c r="C52" s="4">
        <v>46164</v>
      </c>
      <c r="E52" s="3">
        <v>200</v>
      </c>
      <c r="F52" s="3">
        <v>160</v>
      </c>
      <c r="G52" s="3">
        <v>162.5</v>
      </c>
      <c r="H52" s="3">
        <v>42020157.109999999</v>
      </c>
      <c r="I52" s="3">
        <v>1753713.790000001</v>
      </c>
      <c r="J52" s="3">
        <v>-770835385640.12024</v>
      </c>
      <c r="L52">
        <v>0.28000000000000003</v>
      </c>
      <c r="M52">
        <v>0.21199999999999999</v>
      </c>
      <c r="N52">
        <v>0.44600000000000001</v>
      </c>
      <c r="O52">
        <v>29.4269</v>
      </c>
      <c r="P52">
        <v>0.233678</v>
      </c>
      <c r="Q52">
        <v>0.14224100000000001</v>
      </c>
      <c r="R52">
        <v>0.42757099999999998</v>
      </c>
      <c r="S52">
        <v>10581</v>
      </c>
      <c r="T52">
        <v>8231</v>
      </c>
      <c r="U52">
        <v>159989</v>
      </c>
      <c r="V52">
        <v>225966</v>
      </c>
      <c r="W52" s="4">
        <v>46191</v>
      </c>
      <c r="X52">
        <v>100851</v>
      </c>
      <c r="Y52">
        <v>4088</v>
      </c>
    </row>
    <row r="53" spans="1:25" x14ac:dyDescent="0.25">
      <c r="A53" s="2" t="s">
        <v>68</v>
      </c>
      <c r="B53">
        <v>1</v>
      </c>
      <c r="C53" s="4">
        <v>46164</v>
      </c>
      <c r="E53" s="3">
        <v>1000</v>
      </c>
      <c r="F53" s="3">
        <v>800</v>
      </c>
      <c r="G53" s="3">
        <v>220</v>
      </c>
      <c r="H53" s="3">
        <v>394873897.6400001</v>
      </c>
      <c r="I53" s="3">
        <v>1792350.8999999997</v>
      </c>
      <c r="J53" s="3">
        <v>-2493651117123.2109</v>
      </c>
      <c r="L53">
        <v>0.28399999999999997</v>
      </c>
      <c r="M53">
        <v>0.224</v>
      </c>
      <c r="N53">
        <v>0.45800000000000002</v>
      </c>
      <c r="O53">
        <v>26.621200000000002</v>
      </c>
      <c r="P53">
        <v>0.29499799999999998</v>
      </c>
      <c r="Q53">
        <v>0.16466</v>
      </c>
      <c r="R53">
        <v>0.43199199999999999</v>
      </c>
      <c r="S53">
        <v>29541</v>
      </c>
      <c r="T53">
        <v>16498</v>
      </c>
      <c r="U53">
        <v>213806</v>
      </c>
      <c r="V53">
        <v>190343</v>
      </c>
      <c r="W53" s="4">
        <v>46191</v>
      </c>
      <c r="X53">
        <v>66915</v>
      </c>
      <c r="Y53">
        <v>4657</v>
      </c>
    </row>
    <row r="54" spans="1:25" x14ac:dyDescent="0.25">
      <c r="A54" s="2" t="s">
        <v>69</v>
      </c>
      <c r="B54">
        <v>1</v>
      </c>
      <c r="C54" s="4">
        <v>46164</v>
      </c>
      <c r="E54" s="3">
        <v>320</v>
      </c>
      <c r="F54" s="3">
        <v>280</v>
      </c>
      <c r="G54" s="3">
        <v>100</v>
      </c>
      <c r="H54" s="3">
        <v>24454618.100000009</v>
      </c>
      <c r="I54" s="3">
        <v>4910536.6499999994</v>
      </c>
      <c r="J54" s="3">
        <v>-2224082512541.1899</v>
      </c>
      <c r="L54">
        <v>0.24299999999999999</v>
      </c>
      <c r="M54">
        <v>0.18</v>
      </c>
      <c r="N54">
        <v>0.36499999999999999</v>
      </c>
      <c r="O54">
        <v>35.0137</v>
      </c>
      <c r="P54">
        <v>0.211063</v>
      </c>
      <c r="Q54">
        <v>0.11830599999999999</v>
      </c>
      <c r="R54">
        <v>0.30803199999999997</v>
      </c>
      <c r="S54">
        <v>39449</v>
      </c>
      <c r="T54">
        <v>23922</v>
      </c>
      <c r="U54">
        <v>336868</v>
      </c>
      <c r="V54">
        <v>357679</v>
      </c>
      <c r="W54" s="4">
        <v>46191</v>
      </c>
      <c r="X54">
        <v>189798</v>
      </c>
      <c r="Y54">
        <v>8940</v>
      </c>
    </row>
    <row r="55" spans="1:25" x14ac:dyDescent="0.25">
      <c r="A55" s="2" t="s">
        <v>70</v>
      </c>
      <c r="B55">
        <v>1</v>
      </c>
      <c r="C55" s="4">
        <v>46164</v>
      </c>
      <c r="E55" s="3">
        <v>55</v>
      </c>
      <c r="F55" s="3">
        <v>47</v>
      </c>
      <c r="G55" s="3">
        <v>66</v>
      </c>
      <c r="H55" s="3">
        <v>67937442.469999984</v>
      </c>
      <c r="I55" s="3">
        <v>5073001.5299999993</v>
      </c>
      <c r="J55" s="3">
        <v>-1019622002188.3</v>
      </c>
      <c r="L55">
        <v>0.252</v>
      </c>
      <c r="M55">
        <v>0.19800000000000001</v>
      </c>
      <c r="N55">
        <v>0.38600000000000001</v>
      </c>
      <c r="O55">
        <v>27.0747</v>
      </c>
      <c r="P55">
        <v>0.202122</v>
      </c>
      <c r="Q55">
        <v>0.13091700000000001</v>
      </c>
      <c r="R55">
        <v>0.33336300000000002</v>
      </c>
      <c r="S55">
        <v>103529</v>
      </c>
      <c r="T55">
        <v>35187</v>
      </c>
      <c r="U55">
        <v>1119601</v>
      </c>
      <c r="V55">
        <v>1406846</v>
      </c>
      <c r="W55" s="4">
        <v>46191</v>
      </c>
      <c r="X55">
        <v>760513</v>
      </c>
      <c r="Y55">
        <v>16265</v>
      </c>
    </row>
    <row r="56" spans="1:25" x14ac:dyDescent="0.25">
      <c r="A56" s="2" t="s">
        <v>71</v>
      </c>
      <c r="B56">
        <v>2</v>
      </c>
      <c r="C56" s="4">
        <v>46164</v>
      </c>
      <c r="E56" s="3">
        <v>95</v>
      </c>
      <c r="F56" s="3">
        <v>85</v>
      </c>
      <c r="G56" s="3">
        <v>104</v>
      </c>
      <c r="H56" s="3">
        <v>-11629408.050000001</v>
      </c>
      <c r="I56" s="3">
        <v>1221758.68</v>
      </c>
      <c r="J56" s="3">
        <v>-643618296876.80005</v>
      </c>
      <c r="L56">
        <v>0.26700000000000002</v>
      </c>
      <c r="M56">
        <v>0.193</v>
      </c>
      <c r="N56">
        <v>0.38</v>
      </c>
      <c r="O56">
        <v>39.577800000000003</v>
      </c>
      <c r="P56">
        <v>0.22306899999999999</v>
      </c>
      <c r="Q56">
        <v>0.114786</v>
      </c>
      <c r="R56">
        <v>0.39500800000000003</v>
      </c>
      <c r="S56">
        <v>10006</v>
      </c>
      <c r="T56">
        <v>8958</v>
      </c>
      <c r="U56">
        <v>206440</v>
      </c>
      <c r="V56">
        <v>225497</v>
      </c>
      <c r="W56" s="4">
        <v>46191</v>
      </c>
      <c r="X56">
        <v>133708</v>
      </c>
      <c r="Y56">
        <v>4160</v>
      </c>
    </row>
    <row r="57" spans="1:25" x14ac:dyDescent="0.25">
      <c r="A57" s="2" t="s">
        <v>72</v>
      </c>
      <c r="B57">
        <v>2</v>
      </c>
      <c r="C57" s="4">
        <v>46164</v>
      </c>
      <c r="E57" s="3">
        <v>20</v>
      </c>
      <c r="F57" s="3">
        <v>15</v>
      </c>
      <c r="G57" s="3">
        <v>24.5</v>
      </c>
      <c r="H57" s="3">
        <v>8123050.1900000004</v>
      </c>
      <c r="I57" s="3">
        <v>3661711.8200000008</v>
      </c>
      <c r="J57" s="3">
        <v>-2047984626820.0493</v>
      </c>
      <c r="L57">
        <v>0.52</v>
      </c>
      <c r="M57">
        <v>0.46500000000000002</v>
      </c>
      <c r="N57">
        <v>0.88700000000000001</v>
      </c>
      <c r="O57">
        <v>12.654400000000001</v>
      </c>
      <c r="P57">
        <v>0.69427499999999998</v>
      </c>
      <c r="Q57">
        <v>0.34528399999999998</v>
      </c>
      <c r="R57">
        <v>0.88773000000000002</v>
      </c>
      <c r="S57">
        <v>269938</v>
      </c>
      <c r="T57">
        <v>104397</v>
      </c>
      <c r="U57">
        <v>2902595</v>
      </c>
      <c r="V57">
        <v>1498875</v>
      </c>
      <c r="W57" s="4">
        <v>46191</v>
      </c>
      <c r="X57">
        <v>811784</v>
      </c>
      <c r="Y57">
        <v>45569</v>
      </c>
    </row>
    <row r="58" spans="1:25" x14ac:dyDescent="0.25">
      <c r="A58" s="2" t="s">
        <v>73</v>
      </c>
      <c r="B58">
        <v>1</v>
      </c>
      <c r="C58" s="4">
        <v>46164</v>
      </c>
      <c r="E58" s="3">
        <v>85</v>
      </c>
      <c r="F58" s="3">
        <v>70</v>
      </c>
      <c r="G58" s="3">
        <v>91</v>
      </c>
      <c r="H58" s="3">
        <v>-20198519.409999978</v>
      </c>
      <c r="I58" s="3">
        <v>2315542.2599999998</v>
      </c>
      <c r="J58" s="3">
        <v>-835670300414.55981</v>
      </c>
      <c r="L58">
        <v>0.27200000000000002</v>
      </c>
      <c r="M58">
        <v>0.21099999999999999</v>
      </c>
      <c r="N58">
        <v>0.433</v>
      </c>
      <c r="O58">
        <v>27.162700000000001</v>
      </c>
      <c r="P58">
        <v>0.27218599999999998</v>
      </c>
      <c r="Q58">
        <v>0.15309900000000001</v>
      </c>
      <c r="R58">
        <v>0.37271399999999999</v>
      </c>
      <c r="S58">
        <v>36362</v>
      </c>
      <c r="T58">
        <v>16240</v>
      </c>
      <c r="U58">
        <v>446086</v>
      </c>
      <c r="V58">
        <v>667928</v>
      </c>
      <c r="W58" s="4">
        <v>46191</v>
      </c>
      <c r="X58">
        <v>327457</v>
      </c>
      <c r="Y58">
        <v>5150</v>
      </c>
    </row>
    <row r="59" spans="1:25" x14ac:dyDescent="0.25">
      <c r="A59" s="2" t="s">
        <v>74</v>
      </c>
      <c r="B59">
        <v>2</v>
      </c>
      <c r="C59" s="4">
        <v>46164</v>
      </c>
      <c r="E59" s="3">
        <v>20</v>
      </c>
      <c r="F59" s="3">
        <v>5</v>
      </c>
      <c r="G59" s="3">
        <v>23.5</v>
      </c>
      <c r="H59" s="3">
        <v>6853683.5599999996</v>
      </c>
      <c r="I59" s="3">
        <v>1693214.6200000008</v>
      </c>
      <c r="J59" s="3">
        <v>-514230219681.96973</v>
      </c>
      <c r="L59">
        <v>0.58899999999999997</v>
      </c>
      <c r="M59">
        <v>0.47</v>
      </c>
      <c r="N59">
        <v>0.876</v>
      </c>
      <c r="O59">
        <v>28.332100000000001</v>
      </c>
      <c r="P59">
        <v>0.517401</v>
      </c>
      <c r="Q59">
        <v>0.32788699999999998</v>
      </c>
      <c r="R59">
        <v>1.016713</v>
      </c>
      <c r="S59">
        <v>82417</v>
      </c>
      <c r="T59">
        <v>27335</v>
      </c>
      <c r="U59">
        <v>1364676</v>
      </c>
      <c r="V59">
        <v>1098216</v>
      </c>
      <c r="W59" s="4">
        <v>46191</v>
      </c>
      <c r="X59">
        <v>477254</v>
      </c>
      <c r="Y59">
        <v>17632</v>
      </c>
    </row>
    <row r="60" spans="1:25" x14ac:dyDescent="0.25">
      <c r="A60" s="2" t="s">
        <v>75</v>
      </c>
      <c r="B60">
        <v>1</v>
      </c>
      <c r="C60" s="4">
        <v>46164</v>
      </c>
      <c r="E60" s="3">
        <v>55</v>
      </c>
      <c r="F60" s="3">
        <v>50</v>
      </c>
      <c r="G60" s="3">
        <v>24</v>
      </c>
      <c r="H60" s="3">
        <v>-218457757.38999984</v>
      </c>
      <c r="I60" s="3">
        <v>15352913.000000002</v>
      </c>
      <c r="J60" s="3">
        <v>-1301651999.4099998</v>
      </c>
      <c r="L60">
        <v>0.16400000000000001</v>
      </c>
      <c r="M60">
        <v>0.126</v>
      </c>
      <c r="N60">
        <v>0.28599999999999998</v>
      </c>
      <c r="O60">
        <v>24.043700000000001</v>
      </c>
      <c r="P60">
        <v>0.110416</v>
      </c>
      <c r="Q60">
        <v>8.5844000000000004E-2</v>
      </c>
      <c r="R60">
        <v>0.221192</v>
      </c>
      <c r="S60">
        <v>134016</v>
      </c>
      <c r="T60">
        <v>54367</v>
      </c>
      <c r="U60">
        <v>2334335</v>
      </c>
      <c r="V60">
        <v>3820634</v>
      </c>
      <c r="W60" s="4">
        <v>46191</v>
      </c>
      <c r="X60">
        <v>1917594</v>
      </c>
      <c r="Y60">
        <v>63839</v>
      </c>
    </row>
    <row r="61" spans="1:25" x14ac:dyDescent="0.25">
      <c r="A61" s="2" t="s">
        <v>76</v>
      </c>
      <c r="B61">
        <v>1</v>
      </c>
      <c r="C61" s="4">
        <v>46164</v>
      </c>
      <c r="E61" s="3">
        <v>150</v>
      </c>
      <c r="F61" s="3">
        <v>130</v>
      </c>
      <c r="G61" s="3">
        <v>45</v>
      </c>
      <c r="H61" s="3">
        <v>-5166498.71</v>
      </c>
      <c r="I61" s="3">
        <v>656130.4</v>
      </c>
      <c r="J61" s="3">
        <v>-172186028.53999999</v>
      </c>
      <c r="L61">
        <v>0.26500000000000001</v>
      </c>
      <c r="M61">
        <v>0.17199999999999999</v>
      </c>
      <c r="N61">
        <v>0.35299999999999998</v>
      </c>
      <c r="O61">
        <v>51.244599999999998</v>
      </c>
      <c r="P61">
        <v>0.23847099999999999</v>
      </c>
      <c r="Q61">
        <v>0.10033</v>
      </c>
      <c r="R61">
        <v>0.28273599999999999</v>
      </c>
      <c r="S61">
        <v>5510</v>
      </c>
      <c r="T61">
        <v>6702</v>
      </c>
      <c r="U61">
        <v>267940</v>
      </c>
      <c r="V61">
        <v>551734</v>
      </c>
      <c r="W61" s="4">
        <v>46191</v>
      </c>
      <c r="X61">
        <v>232035</v>
      </c>
      <c r="Y61">
        <v>2014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9BAB-B4E1-4D60-BF6F-4357FC3E1924}">
  <dimension ref="A1:O63"/>
  <sheetViews>
    <sheetView workbookViewId="0">
      <selection activeCell="M3" sqref="M3"/>
    </sheetView>
  </sheetViews>
  <sheetFormatPr defaultRowHeight="15" x14ac:dyDescent="0.25"/>
  <cols>
    <col min="4" max="4" width="16.28515625" customWidth="1"/>
    <col min="5" max="6" width="11.7109375" customWidth="1"/>
    <col min="7" max="7" width="12.28515625" customWidth="1"/>
    <col min="8" max="8" width="13.7109375" customWidth="1"/>
    <col min="9" max="9" width="13.28515625" customWidth="1"/>
    <col min="10" max="10" width="9.5703125" customWidth="1"/>
    <col min="11" max="11" width="11.28515625" customWidth="1"/>
    <col min="12" max="12" width="11.7109375" customWidth="1"/>
    <col min="13" max="13" width="11.42578125" customWidth="1"/>
    <col min="15" max="15" width="52.28515625" bestFit="1" customWidth="1"/>
    <col min="16" max="16" width="11.42578125" customWidth="1"/>
    <col min="17" max="17" width="6" bestFit="1" customWidth="1"/>
  </cols>
  <sheetData>
    <row r="1" spans="1:15" x14ac:dyDescent="0.25">
      <c r="A1" t="s">
        <v>0</v>
      </c>
      <c r="B1" t="s">
        <v>16</v>
      </c>
      <c r="C1" t="s">
        <v>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tr">
        <f>RawData!A2</f>
        <v>IWM</v>
      </c>
      <c r="B2">
        <f>RawData!B2</f>
        <v>1</v>
      </c>
      <c r="C2" s="1">
        <f>IF(B2=1,10,IF(B2=2,5,0))</f>
        <v>10</v>
      </c>
      <c r="D2" t="str">
        <f>IF(RawData!H2="","",
   IF(RawData!H2&gt;0,"Long Gamma","Short Gamma")
)</f>
        <v>Short Gamma</v>
      </c>
      <c r="E2" t="str">
        <f>IF(RawData!K2="","",
   IF(RawData!K2&gt;0,"Dealers Long (Sell Rips)","Dealers Short (Buy Rips)")
)</f>
        <v/>
      </c>
      <c r="F2" t="str">
        <f>IF(OR(RawData!I2="",RawData!O2=""),"",
   IF(RawData!I2&gt;0,
      IF(RawData!O2&gt;50,"Downside Pressure","Upside Drift"),
      IF(RawData!O2&gt;50,"Upside Pressure","Downside Drift")
   )
)</f>
        <v>Upside Drift</v>
      </c>
      <c r="G2" t="str">
        <f>IF(RawData!J2="","",
   IF(RawData!J2&lt;0,"Sell Into Close","Buy Into Close")
)</f>
        <v>Sell Into Close</v>
      </c>
      <c r="H2" t="e">
        <f>IF(RawData!E2="","",
   IF(ABS(RawData!E2 - RawData!D2)/RawData!D2 &lt; 0.02,"Near Call Wall","")
)</f>
        <v>#DIV/0!</v>
      </c>
      <c r="I2" t="e">
        <f>IF(RawData!F2="","",
   IF(ABS(RawData!F2 - RawData!D2)/RawData!D2 &lt; 0.02,"Near Put Wall","")
)</f>
        <v>#DIV/0!</v>
      </c>
      <c r="J2" t="str">
        <f>IF(RawData!G2="","",
   IF(RawData!G2 &lt; RawData!D2,"Below Flip","Above Flip")
)</f>
        <v>Above Flip</v>
      </c>
      <c r="K2" t="e">
        <f>IF(RawData!H2="","",
   (IF(LE[[#This Row],[GammaRegime]]="Long Gamma",10,0)) +
   (IF(RawData!K2&lt;0,10,0)) +
   (IF(AND(RawData!I2&lt;0,RawData!O2&gt;50),10,0)) +
   (IF(AND(RawData!I2&gt;0,RawData!O2&lt;50),10,0)) +
   (IF(ABS(RawData!E2 - RawData!D2)/RawData!D2 &lt; 0.02,5,0)) +
   (IF(RawData!G2&gt;RawData!D2,5,0)) +
   LE[[#This Row],[TierWeight]]
)</f>
        <v>#DIV/0!</v>
      </c>
      <c r="L2" t="e">
        <f>IF(RawData!H2="","",
   (IF(LE[[#This Row],[GammaRegime]]="Short Gamma",10,0)) +
   (IF(RawData!K2&gt;0,10,0)) +
   (IF(AND(RawData!I2&gt;0,RawData!O2&gt;50),10,0)) +
   (IF(AND(RawData!I2&lt;0,RawData!O2&lt;50),10,0)) +
   (IF(ABS(RawData!F2 - RawData!D2)/RawData!D2 &lt; 0.02,5,0)) +
   (IF(RawData!G2&lt;RawData!D2,5,0)) +
   LE[[#This Row],[TierWeight]]
)</f>
        <v>#DIV/0!</v>
      </c>
      <c r="M2" t="e">
        <f>IF(LE[[#This Row],[BullScore]]&gt;LE[[#This Row],[BearScore]],"Call",
   IF(LE[[#This Row],[BearScore]]&gt;LE[[#This Row],[BullScore]],"Put","Avoid")
)</f>
        <v>#DIV/0!</v>
      </c>
      <c r="N2" t="e">
        <f>MAX(LE[[#This Row],[BullScore]],LE[[#This Row],[BearScore]])</f>
        <v>#DIV/0!</v>
      </c>
      <c r="O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" spans="1:15" x14ac:dyDescent="0.25">
      <c r="A3" t="str">
        <f>RawData!A3</f>
        <v>SPY</v>
      </c>
      <c r="B3">
        <f>RawData!B3</f>
        <v>1</v>
      </c>
      <c r="C3" s="1">
        <f t="shared" ref="C2:C33" si="0">IF(B3=1,10,IF(B3=2,5,0))</f>
        <v>10</v>
      </c>
      <c r="D3" t="str">
        <f>IF(RawData!H3="","",
   IF(RawData!H3&gt;0,"Long Gamma","Short Gamma")
)</f>
        <v>Long Gamma</v>
      </c>
      <c r="E3" t="str">
        <f>IF(RawData!K3="","",
   IF(RawData!K3&gt;0,"Dealers Long (Sell Rips)","Dealers Short (Buy Rips)")
)</f>
        <v/>
      </c>
      <c r="F3" t="str">
        <f>IF(OR(RawData!I3="",RawData!O3=""),"",
   IF(RawData!I3&gt;0,
      IF(RawData!O3&gt;50,"Downside Pressure","Upside Drift"),
      IF(RawData!O3&gt;50,"Upside Pressure","Downside Drift")
   )
)</f>
        <v>Upside Drift</v>
      </c>
      <c r="G3" t="str">
        <f>IF(RawData!J3="","",
   IF(RawData!J3&lt;0,"Sell Into Close","Buy Into Close")
)</f>
        <v>Buy Into Close</v>
      </c>
      <c r="H3" t="e">
        <f>IF(RawData!E3="","",
   IF(ABS(RawData!E3 - RawData!D3)/RawData!D3 &lt; 0.02,"Near Call Wall","")
)</f>
        <v>#DIV/0!</v>
      </c>
      <c r="I3" t="e">
        <f>IF(RawData!F3="","",
   IF(ABS(RawData!F3 - RawData!D3)/RawData!D3 &lt; 0.02,"Near Put Wall","")
)</f>
        <v>#DIV/0!</v>
      </c>
      <c r="J3" t="str">
        <f>IF(RawData!G3="","",
   IF(RawData!G3 &lt; RawData!D3,"Below Flip","Above Flip")
)</f>
        <v>Above Flip</v>
      </c>
      <c r="K3" t="e">
        <f>IF(RawData!H3="","",
   (IF(LE[[#This Row],[GammaRegime]]="Long Gamma",10,0)) +
   (IF(RawData!K3&lt;0,10,0)) +
   (IF(AND(RawData!I3&lt;0,RawData!O3&gt;50),10,0)) +
   (IF(AND(RawData!I3&gt;0,RawData!O3&lt;50),10,0)) +
   (IF(ABS(RawData!E3 - RawData!D3)/RawData!D3 &lt; 0.02,5,0)) +
   (IF(RawData!G3&gt;RawData!D3,5,0)) +
   LE[[#This Row],[TierWeight]]
)</f>
        <v>#DIV/0!</v>
      </c>
      <c r="L3" t="e">
        <f>IF(RawData!H3="","",
   (IF(LE[[#This Row],[GammaRegime]]="Short Gamma",10,0)) +
   (IF(RawData!K3&gt;0,10,0)) +
   (IF(AND(RawData!I3&gt;0,RawData!O3&gt;50),10,0)) +
   (IF(AND(RawData!I3&lt;0,RawData!O3&lt;50),10,0)) +
   (IF(ABS(RawData!F3 - RawData!D3)/RawData!D3 &lt; 0.02,5,0)) +
   (IF(RawData!G3&lt;RawData!D3,5,0)) +
   LE[[#This Row],[TierWeight]]
)</f>
        <v>#DIV/0!</v>
      </c>
      <c r="M3" t="e">
        <f>IF(LE[[#This Row],[BullScore]]&gt;LE[[#This Row],[BearScore]],"Call",
   IF(LE[[#This Row],[BearScore]]&gt;LE[[#This Row],[BullScore]],"Put","Avoid")
)</f>
        <v>#DIV/0!</v>
      </c>
      <c r="N3" t="e">
        <f>MAX(LE[[#This Row],[BullScore]],LE[[#This Row],[BearScore]])</f>
        <v>#DIV/0!</v>
      </c>
      <c r="O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" spans="1:15" x14ac:dyDescent="0.25">
      <c r="A4" t="str">
        <f>RawData!A4</f>
        <v>QQQ</v>
      </c>
      <c r="B4">
        <f>RawData!B4</f>
        <v>1</v>
      </c>
      <c r="C4" s="1">
        <f t="shared" si="0"/>
        <v>10</v>
      </c>
      <c r="D4" t="str">
        <f>IF(RawData!H4="","",
   IF(RawData!H4&gt;0,"Long Gamma","Short Gamma")
)</f>
        <v>Long Gamma</v>
      </c>
      <c r="E4" t="str">
        <f>IF(RawData!K4="","",
   IF(RawData!K4&gt;0,"Dealers Long (Sell Rips)","Dealers Short (Buy Rips)")
)</f>
        <v/>
      </c>
      <c r="F4" t="str">
        <f>IF(OR(RawData!I4="",RawData!O4=""),"",
   IF(RawData!I4&gt;0,
      IF(RawData!O4&gt;50,"Downside Pressure","Upside Drift"),
      IF(RawData!O4&gt;50,"Upside Pressure","Downside Drift")
   )
)</f>
        <v>Upside Drift</v>
      </c>
      <c r="G4" t="str">
        <f>IF(RawData!J4="","",
   IF(RawData!J4&lt;0,"Sell Into Close","Buy Into Close")
)</f>
        <v>Buy Into Close</v>
      </c>
      <c r="H4" t="e">
        <f>IF(RawData!E4="","",
   IF(ABS(RawData!E4 - RawData!D4)/RawData!D4 &lt; 0.02,"Near Call Wall","")
)</f>
        <v>#DIV/0!</v>
      </c>
      <c r="I4" t="e">
        <f>IF(RawData!F4="","",
   IF(ABS(RawData!F4 - RawData!D4)/RawData!D4 &lt; 0.02,"Near Put Wall","")
)</f>
        <v>#DIV/0!</v>
      </c>
      <c r="J4" t="str">
        <f>IF(RawData!G4="","",
   IF(RawData!G4 &lt; RawData!D4,"Below Flip","Above Flip")
)</f>
        <v>Above Flip</v>
      </c>
      <c r="K4" t="e">
        <f>IF(RawData!H4="","",
   (IF(LE[[#This Row],[GammaRegime]]="Long Gamma",10,0)) +
   (IF(RawData!K4&lt;0,10,0)) +
   (IF(AND(RawData!I4&lt;0,RawData!O4&gt;50),10,0)) +
   (IF(AND(RawData!I4&gt;0,RawData!O4&lt;50),10,0)) +
   (IF(ABS(RawData!E4 - RawData!D4)/RawData!D4 &lt; 0.02,5,0)) +
   (IF(RawData!G4&gt;RawData!D4,5,0)) +
   LE[[#This Row],[TierWeight]]
)</f>
        <v>#DIV/0!</v>
      </c>
      <c r="L4" t="e">
        <f>IF(RawData!H4="","",
   (IF(LE[[#This Row],[GammaRegime]]="Short Gamma",10,0)) +
   (IF(RawData!K4&gt;0,10,0)) +
   (IF(AND(RawData!I4&gt;0,RawData!O4&gt;50),10,0)) +
   (IF(AND(RawData!I4&lt;0,RawData!O4&lt;50),10,0)) +
   (IF(ABS(RawData!F4 - RawData!D4)/RawData!D4 &lt; 0.02,5,0)) +
   (IF(RawData!G4&lt;RawData!D4,5,0)) +
   LE[[#This Row],[TierWeight]]
)</f>
        <v>#DIV/0!</v>
      </c>
      <c r="M4" t="e">
        <f>IF(LE[[#This Row],[BullScore]]&gt;LE[[#This Row],[BearScore]],"Call",
   IF(LE[[#This Row],[BearScore]]&gt;LE[[#This Row],[BullScore]],"Put","Avoid")
)</f>
        <v>#DIV/0!</v>
      </c>
      <c r="N4" t="e">
        <f>MAX(LE[[#This Row],[BullScore]],LE[[#This Row],[BearScore]])</f>
        <v>#DIV/0!</v>
      </c>
      <c r="O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" spans="1:15" x14ac:dyDescent="0.25">
      <c r="A5" t="str">
        <f>RawData!A5</f>
        <v>NFLX</v>
      </c>
      <c r="B5">
        <f>RawData!B5</f>
        <v>1</v>
      </c>
      <c r="C5" s="1">
        <f t="shared" si="0"/>
        <v>10</v>
      </c>
      <c r="D5" t="str">
        <f>IF(RawData!H5="","",
   IF(RawData!H5&gt;0,"Long Gamma","Short Gamma")
)</f>
        <v>Long Gamma</v>
      </c>
      <c r="E5" t="str">
        <f>IF(RawData!K5="","",
   IF(RawData!K5&gt;0,"Dealers Long (Sell Rips)","Dealers Short (Buy Rips)")
)</f>
        <v/>
      </c>
      <c r="F5" t="str">
        <f>IF(OR(RawData!I5="",RawData!O5=""),"",
   IF(RawData!I5&gt;0,
      IF(RawData!O5&gt;50,"Downside Pressure","Upside Drift"),
      IF(RawData!O5&gt;50,"Upside Pressure","Downside Drift")
   )
)</f>
        <v>Upside Drift</v>
      </c>
      <c r="G5" t="str">
        <f>IF(RawData!J5="","",
   IF(RawData!J5&lt;0,"Sell Into Close","Buy Into Close")
)</f>
        <v>Sell Into Close</v>
      </c>
      <c r="H5" t="e">
        <f>IF(RawData!E5="","",
   IF(ABS(RawData!E5 - RawData!D5)/RawData!D5 &lt; 0.02,"Near Call Wall","")
)</f>
        <v>#DIV/0!</v>
      </c>
      <c r="I5" t="e">
        <f>IF(RawData!F5="","",
   IF(ABS(RawData!F5 - RawData!D5)/RawData!D5 &lt; 0.02,"Near Put Wall","")
)</f>
        <v>#DIV/0!</v>
      </c>
      <c r="J5" t="str">
        <f>IF(RawData!G5="","",
   IF(RawData!G5 &lt; RawData!D5,"Below Flip","Above Flip")
)</f>
        <v>Above Flip</v>
      </c>
      <c r="K5" t="e">
        <f>IF(RawData!H5="","",
   (IF(LE[[#This Row],[GammaRegime]]="Long Gamma",10,0)) +
   (IF(RawData!K5&lt;0,10,0)) +
   (IF(AND(RawData!I5&lt;0,RawData!O5&gt;50),10,0)) +
   (IF(AND(RawData!I5&gt;0,RawData!O5&lt;50),10,0)) +
   (IF(ABS(RawData!E5 - RawData!D5)/RawData!D5 &lt; 0.02,5,0)) +
   (IF(RawData!G5&gt;RawData!D5,5,0)) +
   LE[[#This Row],[TierWeight]]
)</f>
        <v>#DIV/0!</v>
      </c>
      <c r="L5" t="e">
        <f>IF(RawData!H5="","",
   (IF(LE[[#This Row],[GammaRegime]]="Short Gamma",10,0)) +
   (IF(RawData!K5&gt;0,10,0)) +
   (IF(AND(RawData!I5&gt;0,RawData!O5&gt;50),10,0)) +
   (IF(AND(RawData!I5&lt;0,RawData!O5&lt;50),10,0)) +
   (IF(ABS(RawData!F5 - RawData!D5)/RawData!D5 &lt; 0.02,5,0)) +
   (IF(RawData!G5&lt;RawData!D5,5,0)) +
   LE[[#This Row],[TierWeight]]
)</f>
        <v>#DIV/0!</v>
      </c>
      <c r="M5" t="e">
        <f>IF(LE[[#This Row],[BullScore]]&gt;LE[[#This Row],[BearScore]],"Call",
   IF(LE[[#This Row],[BearScore]]&gt;LE[[#This Row],[BullScore]],"Put","Avoid")
)</f>
        <v>#DIV/0!</v>
      </c>
      <c r="N5" t="e">
        <f>MAX(LE[[#This Row],[BullScore]],LE[[#This Row],[BearScore]])</f>
        <v>#DIV/0!</v>
      </c>
      <c r="O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6" spans="1:15" x14ac:dyDescent="0.25">
      <c r="A6" t="str">
        <f>RawData!A6</f>
        <v>AMZN</v>
      </c>
      <c r="B6">
        <f>RawData!B6</f>
        <v>1</v>
      </c>
      <c r="C6" s="1">
        <f t="shared" si="0"/>
        <v>10</v>
      </c>
      <c r="D6" t="str">
        <f>IF(RawData!H6="","",
   IF(RawData!H6&gt;0,"Long Gamma","Short Gamma")
)</f>
        <v>Long Gamma</v>
      </c>
      <c r="E6" t="str">
        <f>IF(RawData!K6="","",
   IF(RawData!K6&gt;0,"Dealers Long (Sell Rips)","Dealers Short (Buy Rips)")
)</f>
        <v/>
      </c>
      <c r="F6" t="str">
        <f>IF(OR(RawData!I6="",RawData!O6=""),"",
   IF(RawData!I6&gt;0,
      IF(RawData!O6&gt;50,"Downside Pressure","Upside Drift"),
      IF(RawData!O6&gt;50,"Upside Pressure","Downside Drift")
   )
)</f>
        <v>Upside Drift</v>
      </c>
      <c r="G6" t="str">
        <f>IF(RawData!J6="","",
   IF(RawData!J6&lt;0,"Sell Into Close","Buy Into Close")
)</f>
        <v>Sell Into Close</v>
      </c>
      <c r="H6" t="e">
        <f>IF(RawData!E6="","",
   IF(ABS(RawData!E6 - RawData!D6)/RawData!D6 &lt; 0.02,"Near Call Wall","")
)</f>
        <v>#DIV/0!</v>
      </c>
      <c r="I6" t="e">
        <f>IF(RawData!F6="","",
   IF(ABS(RawData!F6 - RawData!D6)/RawData!D6 &lt; 0.02,"Near Put Wall","")
)</f>
        <v>#DIV/0!</v>
      </c>
      <c r="J6" t="str">
        <f>IF(RawData!G6="","",
   IF(RawData!G6 &lt; RawData!D6,"Below Flip","Above Flip")
)</f>
        <v>Above Flip</v>
      </c>
      <c r="K6" t="e">
        <f>IF(RawData!H6="","",
   (IF(LE[[#This Row],[GammaRegime]]="Long Gamma",10,0)) +
   (IF(RawData!K6&lt;0,10,0)) +
   (IF(AND(RawData!I6&lt;0,RawData!O6&gt;50),10,0)) +
   (IF(AND(RawData!I6&gt;0,RawData!O6&lt;50),10,0)) +
   (IF(ABS(RawData!E6 - RawData!D6)/RawData!D6 &lt; 0.02,5,0)) +
   (IF(RawData!G6&gt;RawData!D6,5,0)) +
   LE[[#This Row],[TierWeight]]
)</f>
        <v>#DIV/0!</v>
      </c>
      <c r="L6" t="e">
        <f>IF(RawData!H6="","",
   (IF(LE[[#This Row],[GammaRegime]]="Short Gamma",10,0)) +
   (IF(RawData!K6&gt;0,10,0)) +
   (IF(AND(RawData!I6&gt;0,RawData!O6&gt;50),10,0)) +
   (IF(AND(RawData!I6&lt;0,RawData!O6&lt;50),10,0)) +
   (IF(ABS(RawData!F6 - RawData!D6)/RawData!D6 &lt; 0.02,5,0)) +
   (IF(RawData!G6&lt;RawData!D6,5,0)) +
   LE[[#This Row],[TierWeight]]
)</f>
        <v>#DIV/0!</v>
      </c>
      <c r="M6" t="e">
        <f>IF(LE[[#This Row],[BullScore]]&gt;LE[[#This Row],[BearScore]],"Call",
   IF(LE[[#This Row],[BearScore]]&gt;LE[[#This Row],[BullScore]],"Put","Avoid")
)</f>
        <v>#DIV/0!</v>
      </c>
      <c r="N6" t="e">
        <f>MAX(LE[[#This Row],[BullScore]],LE[[#This Row],[BearScore]])</f>
        <v>#DIV/0!</v>
      </c>
      <c r="O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7" spans="1:15" x14ac:dyDescent="0.25">
      <c r="A7" t="str">
        <f>RawData!A7</f>
        <v>AAPL</v>
      </c>
      <c r="B7">
        <f>RawData!B7</f>
        <v>1</v>
      </c>
      <c r="C7" s="1">
        <f t="shared" si="0"/>
        <v>10</v>
      </c>
      <c r="D7" t="str">
        <f>IF(RawData!H7="","",
   IF(RawData!H7&gt;0,"Long Gamma","Short Gamma")
)</f>
        <v>Short Gamma</v>
      </c>
      <c r="E7" t="str">
        <f>IF(RawData!K7="","",
   IF(RawData!K7&gt;0,"Dealers Long (Sell Rips)","Dealers Short (Buy Rips)")
)</f>
        <v/>
      </c>
      <c r="F7" t="str">
        <f>IF(OR(RawData!I7="",RawData!O7=""),"",
   IF(RawData!I7&gt;0,
      IF(RawData!O7&gt;50,"Downside Pressure","Upside Drift"),
      IF(RawData!O7&gt;50,"Upside Pressure","Downside Drift")
   )
)</f>
        <v>Upside Drift</v>
      </c>
      <c r="G7" t="str">
        <f>IF(RawData!J7="","",
   IF(RawData!J7&lt;0,"Sell Into Close","Buy Into Close")
)</f>
        <v>Sell Into Close</v>
      </c>
      <c r="H7" t="e">
        <f>IF(RawData!E7="","",
   IF(ABS(RawData!E7 - RawData!D7)/RawData!D7 &lt; 0.02,"Near Call Wall","")
)</f>
        <v>#DIV/0!</v>
      </c>
      <c r="I7" t="e">
        <f>IF(RawData!F7="","",
   IF(ABS(RawData!F7 - RawData!D7)/RawData!D7 &lt; 0.02,"Near Put Wall","")
)</f>
        <v>#DIV/0!</v>
      </c>
      <c r="J7" t="str">
        <f>IF(RawData!G7="","",
   IF(RawData!G7 &lt; RawData!D7,"Below Flip","Above Flip")
)</f>
        <v>Above Flip</v>
      </c>
      <c r="K7" t="e">
        <f>IF(RawData!H7="","",
   (IF(LE[[#This Row],[GammaRegime]]="Long Gamma",10,0)) +
   (IF(RawData!K7&lt;0,10,0)) +
   (IF(AND(RawData!I7&lt;0,RawData!O7&gt;50),10,0)) +
   (IF(AND(RawData!I7&gt;0,RawData!O7&lt;50),10,0)) +
   (IF(ABS(RawData!E7 - RawData!D7)/RawData!D7 &lt; 0.02,5,0)) +
   (IF(RawData!G7&gt;RawData!D7,5,0)) +
   LE[[#This Row],[TierWeight]]
)</f>
        <v>#DIV/0!</v>
      </c>
      <c r="L7" t="e">
        <f>IF(RawData!H7="","",
   (IF(LE[[#This Row],[GammaRegime]]="Short Gamma",10,0)) +
   (IF(RawData!K7&gt;0,10,0)) +
   (IF(AND(RawData!I7&gt;0,RawData!O7&gt;50),10,0)) +
   (IF(AND(RawData!I7&lt;0,RawData!O7&lt;50),10,0)) +
   (IF(ABS(RawData!F7 - RawData!D7)/RawData!D7 &lt; 0.02,5,0)) +
   (IF(RawData!G7&lt;RawData!D7,5,0)) +
   LE[[#This Row],[TierWeight]]
)</f>
        <v>#DIV/0!</v>
      </c>
      <c r="M7" t="e">
        <f>IF(LE[[#This Row],[BullScore]]&gt;LE[[#This Row],[BearScore]],"Call",
   IF(LE[[#This Row],[BearScore]]&gt;LE[[#This Row],[BullScore]],"Put","Avoid")
)</f>
        <v>#DIV/0!</v>
      </c>
      <c r="N7" t="e">
        <f>MAX(LE[[#This Row],[BullScore]],LE[[#This Row],[BearScore]])</f>
        <v>#DIV/0!</v>
      </c>
      <c r="O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8" spans="1:15" x14ac:dyDescent="0.25">
      <c r="A8" t="str">
        <f>RawData!A8</f>
        <v>TSLA</v>
      </c>
      <c r="B8">
        <f>RawData!B8</f>
        <v>1</v>
      </c>
      <c r="C8" s="1">
        <f t="shared" si="0"/>
        <v>10</v>
      </c>
      <c r="D8" t="str">
        <f>IF(RawData!H8="","",
   IF(RawData!H8&gt;0,"Long Gamma","Short Gamma")
)</f>
        <v>Long Gamma</v>
      </c>
      <c r="E8" t="str">
        <f>IF(RawData!K8="","",
   IF(RawData!K8&gt;0,"Dealers Long (Sell Rips)","Dealers Short (Buy Rips)")
)</f>
        <v/>
      </c>
      <c r="F8" t="str">
        <f>IF(OR(RawData!I8="",RawData!O8=""),"",
   IF(RawData!I8&gt;0,
      IF(RawData!O8&gt;50,"Downside Pressure","Upside Drift"),
      IF(RawData!O8&gt;50,"Upside Pressure","Downside Drift")
   )
)</f>
        <v>Upside Drift</v>
      </c>
      <c r="G8" t="str">
        <f>IF(RawData!J8="","",
   IF(RawData!J8&lt;0,"Sell Into Close","Buy Into Close")
)</f>
        <v>Sell Into Close</v>
      </c>
      <c r="H8" t="e">
        <f>IF(RawData!E8="","",
   IF(ABS(RawData!E8 - RawData!D8)/RawData!D8 &lt; 0.02,"Near Call Wall","")
)</f>
        <v>#DIV/0!</v>
      </c>
      <c r="I8" t="e">
        <f>IF(RawData!F8="","",
   IF(ABS(RawData!F8 - RawData!D8)/RawData!D8 &lt; 0.02,"Near Put Wall","")
)</f>
        <v>#DIV/0!</v>
      </c>
      <c r="J8" t="str">
        <f>IF(RawData!G8="","",
   IF(RawData!G8 &lt; RawData!D8,"Below Flip","Above Flip")
)</f>
        <v>Above Flip</v>
      </c>
      <c r="K8" t="e">
        <f>IF(RawData!H8="","",
   (IF(LE[[#This Row],[GammaRegime]]="Long Gamma",10,0)) +
   (IF(RawData!K8&lt;0,10,0)) +
   (IF(AND(RawData!I8&lt;0,RawData!O8&gt;50),10,0)) +
   (IF(AND(RawData!I8&gt;0,RawData!O8&lt;50),10,0)) +
   (IF(ABS(RawData!E8 - RawData!D8)/RawData!D8 &lt; 0.02,5,0)) +
   (IF(RawData!G8&gt;RawData!D8,5,0)) +
   LE[[#This Row],[TierWeight]]
)</f>
        <v>#DIV/0!</v>
      </c>
      <c r="L8" t="e">
        <f>IF(RawData!H8="","",
   (IF(LE[[#This Row],[GammaRegime]]="Short Gamma",10,0)) +
   (IF(RawData!K8&gt;0,10,0)) +
   (IF(AND(RawData!I8&gt;0,RawData!O8&gt;50),10,0)) +
   (IF(AND(RawData!I8&lt;0,RawData!O8&lt;50),10,0)) +
   (IF(ABS(RawData!F8 - RawData!D8)/RawData!D8 &lt; 0.02,5,0)) +
   (IF(RawData!G8&lt;RawData!D8,5,0)) +
   LE[[#This Row],[TierWeight]]
)</f>
        <v>#DIV/0!</v>
      </c>
      <c r="M8" t="e">
        <f>IF(LE[[#This Row],[BullScore]]&gt;LE[[#This Row],[BearScore]],"Call",
   IF(LE[[#This Row],[BearScore]]&gt;LE[[#This Row],[BullScore]],"Put","Avoid")
)</f>
        <v>#DIV/0!</v>
      </c>
      <c r="N8" t="e">
        <f>MAX(LE[[#This Row],[BullScore]],LE[[#This Row],[BearScore]])</f>
        <v>#DIV/0!</v>
      </c>
      <c r="O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9" spans="1:15" x14ac:dyDescent="0.25">
      <c r="A9" t="str">
        <f>RawData!A9</f>
        <v>META</v>
      </c>
      <c r="B9">
        <f>RawData!B9</f>
        <v>1</v>
      </c>
      <c r="C9" s="1">
        <f t="shared" si="0"/>
        <v>10</v>
      </c>
      <c r="D9" t="str">
        <f>IF(RawData!H9="","",
   IF(RawData!H9&gt;0,"Long Gamma","Short Gamma")
)</f>
        <v>Short Gamma</v>
      </c>
      <c r="E9" t="str">
        <f>IF(RawData!K9="","",
   IF(RawData!K9&gt;0,"Dealers Long (Sell Rips)","Dealers Short (Buy Rips)")
)</f>
        <v/>
      </c>
      <c r="F9" t="str">
        <f>IF(OR(RawData!I9="",RawData!O9=""),"",
   IF(RawData!I9&gt;0,
      IF(RawData!O9&gt;50,"Downside Pressure","Upside Drift"),
      IF(RawData!O9&gt;50,"Upside Pressure","Downside Drift")
   )
)</f>
        <v>Upside Drift</v>
      </c>
      <c r="G9" t="str">
        <f>IF(RawData!J9="","",
   IF(RawData!J9&lt;0,"Sell Into Close","Buy Into Close")
)</f>
        <v>Sell Into Close</v>
      </c>
      <c r="H9" t="e">
        <f>IF(RawData!E9="","",
   IF(ABS(RawData!E9 - RawData!D9)/RawData!D9 &lt; 0.02,"Near Call Wall","")
)</f>
        <v>#DIV/0!</v>
      </c>
      <c r="I9" t="e">
        <f>IF(RawData!F9="","",
   IF(ABS(RawData!F9 - RawData!D9)/RawData!D9 &lt; 0.02,"Near Put Wall","")
)</f>
        <v>#DIV/0!</v>
      </c>
      <c r="J9" t="str">
        <f>IF(RawData!G9="","",
   IF(RawData!G9 &lt; RawData!D9,"Below Flip","Above Flip")
)</f>
        <v>Above Flip</v>
      </c>
      <c r="K9" t="e">
        <f>IF(RawData!H9="","",
   (IF(LE[[#This Row],[GammaRegime]]="Long Gamma",10,0)) +
   (IF(RawData!K9&lt;0,10,0)) +
   (IF(AND(RawData!I9&lt;0,RawData!O9&gt;50),10,0)) +
   (IF(AND(RawData!I9&gt;0,RawData!O9&lt;50),10,0)) +
   (IF(ABS(RawData!E9 - RawData!D9)/RawData!D9 &lt; 0.02,5,0)) +
   (IF(RawData!G9&gt;RawData!D9,5,0)) +
   LE[[#This Row],[TierWeight]]
)</f>
        <v>#DIV/0!</v>
      </c>
      <c r="L9" t="e">
        <f>IF(RawData!H9="","",
   (IF(LE[[#This Row],[GammaRegime]]="Short Gamma",10,0)) +
   (IF(RawData!K9&gt;0,10,0)) +
   (IF(AND(RawData!I9&gt;0,RawData!O9&gt;50),10,0)) +
   (IF(AND(RawData!I9&lt;0,RawData!O9&lt;50),10,0)) +
   (IF(ABS(RawData!F9 - RawData!D9)/RawData!D9 &lt; 0.02,5,0)) +
   (IF(RawData!G9&lt;RawData!D9,5,0)) +
   LE[[#This Row],[TierWeight]]
)</f>
        <v>#DIV/0!</v>
      </c>
      <c r="M9" t="e">
        <f>IF(LE[[#This Row],[BullScore]]&gt;LE[[#This Row],[BearScore]],"Call",
   IF(LE[[#This Row],[BearScore]]&gt;LE[[#This Row],[BullScore]],"Put","Avoid")
)</f>
        <v>#DIV/0!</v>
      </c>
      <c r="N9" t="e">
        <f>MAX(LE[[#This Row],[BullScore]],LE[[#This Row],[BearScore]])</f>
        <v>#DIV/0!</v>
      </c>
      <c r="O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0" spans="1:15" x14ac:dyDescent="0.25">
      <c r="A10" t="str">
        <f>RawData!A10</f>
        <v>PLTR</v>
      </c>
      <c r="B10">
        <f>RawData!B10</f>
        <v>2</v>
      </c>
      <c r="C10" s="1">
        <f t="shared" si="0"/>
        <v>5</v>
      </c>
      <c r="D10" t="str">
        <f>IF(RawData!H10="","",
   IF(RawData!H10&gt;0,"Long Gamma","Short Gamma")
)</f>
        <v>Long Gamma</v>
      </c>
      <c r="E10" t="str">
        <f>IF(RawData!K10="","",
   IF(RawData!K10&gt;0,"Dealers Long (Sell Rips)","Dealers Short (Buy Rips)")
)</f>
        <v/>
      </c>
      <c r="F10" t="str">
        <f>IF(OR(RawData!I10="",RawData!O10=""),"",
   IF(RawData!I10&gt;0,
      IF(RawData!O10&gt;50,"Downside Pressure","Upside Drift"),
      IF(RawData!O10&gt;50,"Upside Pressure","Downside Drift")
   )
)</f>
        <v>Upside Drift</v>
      </c>
      <c r="G10" t="str">
        <f>IF(RawData!J10="","",
   IF(RawData!J10&lt;0,"Sell Into Close","Buy Into Close")
)</f>
        <v>Sell Into Close</v>
      </c>
      <c r="H10" t="e">
        <f>IF(RawData!E10="","",
   IF(ABS(RawData!E10 - RawData!D10)/RawData!D10 &lt; 0.02,"Near Call Wall","")
)</f>
        <v>#DIV/0!</v>
      </c>
      <c r="I10" t="e">
        <f>IF(RawData!F10="","",
   IF(ABS(RawData!F10 - RawData!D10)/RawData!D10 &lt; 0.02,"Near Put Wall","")
)</f>
        <v>#DIV/0!</v>
      </c>
      <c r="J10" t="str">
        <f>IF(RawData!G10="","",
   IF(RawData!G10 &lt; RawData!D10,"Below Flip","Above Flip")
)</f>
        <v>Above Flip</v>
      </c>
      <c r="K10" t="e">
        <f>IF(RawData!H10="","",
   (IF(LE[[#This Row],[GammaRegime]]="Long Gamma",10,0)) +
   (IF(RawData!K10&lt;0,10,0)) +
   (IF(AND(RawData!I10&lt;0,RawData!O10&gt;50),10,0)) +
   (IF(AND(RawData!I10&gt;0,RawData!O10&lt;50),10,0)) +
   (IF(ABS(RawData!E10 - RawData!D10)/RawData!D10 &lt; 0.02,5,0)) +
   (IF(RawData!G10&gt;RawData!D10,5,0)) +
   LE[[#This Row],[TierWeight]]
)</f>
        <v>#DIV/0!</v>
      </c>
      <c r="L10" t="e">
        <f>IF(RawData!H10="","",
   (IF(LE[[#This Row],[GammaRegime]]="Short Gamma",10,0)) +
   (IF(RawData!K10&gt;0,10,0)) +
   (IF(AND(RawData!I10&gt;0,RawData!O10&gt;50),10,0)) +
   (IF(AND(RawData!I10&lt;0,RawData!O10&lt;50),10,0)) +
   (IF(ABS(RawData!F10 - RawData!D10)/RawData!D10 &lt; 0.02,5,0)) +
   (IF(RawData!G10&lt;RawData!D10,5,0)) +
   LE[[#This Row],[TierWeight]]
)</f>
        <v>#DIV/0!</v>
      </c>
      <c r="M10" t="e">
        <f>IF(LE[[#This Row],[BullScore]]&gt;LE[[#This Row],[BearScore]],"Call",
   IF(LE[[#This Row],[BearScore]]&gt;LE[[#This Row],[BullScore]],"Put","Avoid")
)</f>
        <v>#DIV/0!</v>
      </c>
      <c r="N10" t="e">
        <f>MAX(LE[[#This Row],[BullScore]],LE[[#This Row],[BearScore]])</f>
        <v>#DIV/0!</v>
      </c>
      <c r="O1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1" spans="1:15" x14ac:dyDescent="0.25">
      <c r="A11" t="str">
        <f>RawData!A11</f>
        <v>GOOG</v>
      </c>
      <c r="B11">
        <f>RawData!B11</f>
        <v>1</v>
      </c>
      <c r="C11" s="1">
        <f t="shared" si="0"/>
        <v>10</v>
      </c>
      <c r="D11" t="str">
        <f>IF(RawData!H11="","",
   IF(RawData!H11&gt;0,"Long Gamma","Short Gamma")
)</f>
        <v>Short Gamma</v>
      </c>
      <c r="E11" t="str">
        <f>IF(RawData!K11="","",
   IF(RawData!K11&gt;0,"Dealers Long (Sell Rips)","Dealers Short (Buy Rips)")
)</f>
        <v/>
      </c>
      <c r="F11" t="str">
        <f>IF(OR(RawData!I11="",RawData!O11=""),"",
   IF(RawData!I11&gt;0,
      IF(RawData!O11&gt;50,"Downside Pressure","Upside Drift"),
      IF(RawData!O11&gt;50,"Upside Pressure","Downside Drift")
   )
)</f>
        <v>Upside Drift</v>
      </c>
      <c r="G11" t="str">
        <f>IF(RawData!J11="","",
   IF(RawData!J11&lt;0,"Sell Into Close","Buy Into Close")
)</f>
        <v>Sell Into Close</v>
      </c>
      <c r="H11" t="e">
        <f>IF(RawData!E11="","",
   IF(ABS(RawData!E11 - RawData!D11)/RawData!D11 &lt; 0.02,"Near Call Wall","")
)</f>
        <v>#DIV/0!</v>
      </c>
      <c r="I11" t="e">
        <f>IF(RawData!F11="","",
   IF(ABS(RawData!F11 - RawData!D11)/RawData!D11 &lt; 0.02,"Near Put Wall","")
)</f>
        <v>#DIV/0!</v>
      </c>
      <c r="J11" t="str">
        <f>IF(RawData!G11="","",
   IF(RawData!G11 &lt; RawData!D11,"Below Flip","Above Flip")
)</f>
        <v>Above Flip</v>
      </c>
      <c r="K11" t="e">
        <f>IF(RawData!H11="","",
   (IF(LE[[#This Row],[GammaRegime]]="Long Gamma",10,0)) +
   (IF(RawData!K11&lt;0,10,0)) +
   (IF(AND(RawData!I11&lt;0,RawData!O11&gt;50),10,0)) +
   (IF(AND(RawData!I11&gt;0,RawData!O11&lt;50),10,0)) +
   (IF(ABS(RawData!E11 - RawData!D11)/RawData!D11 &lt; 0.02,5,0)) +
   (IF(RawData!G11&gt;RawData!D11,5,0)) +
   LE[[#This Row],[TierWeight]]
)</f>
        <v>#DIV/0!</v>
      </c>
      <c r="L11" t="e">
        <f>IF(RawData!H11="","",
   (IF(LE[[#This Row],[GammaRegime]]="Short Gamma",10,0)) +
   (IF(RawData!K11&gt;0,10,0)) +
   (IF(AND(RawData!I11&gt;0,RawData!O11&gt;50),10,0)) +
   (IF(AND(RawData!I11&lt;0,RawData!O11&lt;50),10,0)) +
   (IF(ABS(RawData!F11 - RawData!D11)/RawData!D11 &lt; 0.02,5,0)) +
   (IF(RawData!G11&lt;RawData!D11,5,0)) +
   LE[[#This Row],[TierWeight]]
)</f>
        <v>#DIV/0!</v>
      </c>
      <c r="M11" t="e">
        <f>IF(LE[[#This Row],[BullScore]]&gt;LE[[#This Row],[BearScore]],"Call",
   IF(LE[[#This Row],[BearScore]]&gt;LE[[#This Row],[BullScore]],"Put","Avoid")
)</f>
        <v>#DIV/0!</v>
      </c>
      <c r="N11" t="e">
        <f>MAX(LE[[#This Row],[BullScore]],LE[[#This Row],[BearScore]])</f>
        <v>#DIV/0!</v>
      </c>
      <c r="O1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2" spans="1:15" x14ac:dyDescent="0.25">
      <c r="A12" t="str">
        <f>RawData!A12</f>
        <v>MSFT</v>
      </c>
      <c r="B12">
        <f>RawData!B12</f>
        <v>1</v>
      </c>
      <c r="C12" s="1">
        <f t="shared" si="0"/>
        <v>10</v>
      </c>
      <c r="D12" t="str">
        <f>IF(RawData!H12="","",
   IF(RawData!H12&gt;0,"Long Gamma","Short Gamma")
)</f>
        <v>Long Gamma</v>
      </c>
      <c r="E12" t="str">
        <f>IF(RawData!K12="","",
   IF(RawData!K12&gt;0,"Dealers Long (Sell Rips)","Dealers Short (Buy Rips)")
)</f>
        <v/>
      </c>
      <c r="F12" t="str">
        <f>IF(OR(RawData!I12="",RawData!O12=""),"",
   IF(RawData!I12&gt;0,
      IF(RawData!O12&gt;50,"Downside Pressure","Upside Drift"),
      IF(RawData!O12&gt;50,"Upside Pressure","Downside Drift")
   )
)</f>
        <v>Upside Drift</v>
      </c>
      <c r="G12" t="str">
        <f>IF(RawData!J12="","",
   IF(RawData!J12&lt;0,"Sell Into Close","Buy Into Close")
)</f>
        <v>Sell Into Close</v>
      </c>
      <c r="H12" t="e">
        <f>IF(RawData!E12="","",
   IF(ABS(RawData!E12 - RawData!D12)/RawData!D12 &lt; 0.02,"Near Call Wall","")
)</f>
        <v>#DIV/0!</v>
      </c>
      <c r="I12" t="e">
        <f>IF(RawData!F12="","",
   IF(ABS(RawData!F12 - RawData!D12)/RawData!D12 &lt; 0.02,"Near Put Wall","")
)</f>
        <v>#DIV/0!</v>
      </c>
      <c r="J12" t="str">
        <f>IF(RawData!G12="","",
   IF(RawData!G12 &lt; RawData!D12,"Below Flip","Above Flip")
)</f>
        <v>Above Flip</v>
      </c>
      <c r="K12" t="e">
        <f>IF(RawData!H12="","",
   (IF(LE[[#This Row],[GammaRegime]]="Long Gamma",10,0)) +
   (IF(RawData!K12&lt;0,10,0)) +
   (IF(AND(RawData!I12&lt;0,RawData!O12&gt;50),10,0)) +
   (IF(AND(RawData!I12&gt;0,RawData!O12&lt;50),10,0)) +
   (IF(ABS(RawData!E12 - RawData!D12)/RawData!D12 &lt; 0.02,5,0)) +
   (IF(RawData!G12&gt;RawData!D12,5,0)) +
   LE[[#This Row],[TierWeight]]
)</f>
        <v>#DIV/0!</v>
      </c>
      <c r="L12" t="e">
        <f>IF(RawData!H12="","",
   (IF(LE[[#This Row],[GammaRegime]]="Short Gamma",10,0)) +
   (IF(RawData!K12&gt;0,10,0)) +
   (IF(AND(RawData!I12&gt;0,RawData!O12&gt;50),10,0)) +
   (IF(AND(RawData!I12&lt;0,RawData!O12&lt;50),10,0)) +
   (IF(ABS(RawData!F12 - RawData!D12)/RawData!D12 &lt; 0.02,5,0)) +
   (IF(RawData!G12&lt;RawData!D12,5,0)) +
   LE[[#This Row],[TierWeight]]
)</f>
        <v>#DIV/0!</v>
      </c>
      <c r="M12" t="e">
        <f>IF(LE[[#This Row],[BullScore]]&gt;LE[[#This Row],[BearScore]],"Call",
   IF(LE[[#This Row],[BearScore]]&gt;LE[[#This Row],[BullScore]],"Put","Avoid")
)</f>
        <v>#DIV/0!</v>
      </c>
      <c r="N12" t="e">
        <f>MAX(LE[[#This Row],[BullScore]],LE[[#This Row],[BearScore]])</f>
        <v>#DIV/0!</v>
      </c>
      <c r="O1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3" spans="1:15" x14ac:dyDescent="0.25">
      <c r="A13" t="str">
        <f>RawData!A13</f>
        <v>NVDA</v>
      </c>
      <c r="B13">
        <f>RawData!B13</f>
        <v>1</v>
      </c>
      <c r="C13" s="1">
        <f t="shared" si="0"/>
        <v>10</v>
      </c>
      <c r="D13" t="str">
        <f>IF(RawData!H13="","",
   IF(RawData!H13&gt;0,"Long Gamma","Short Gamma")
)</f>
        <v>Long Gamma</v>
      </c>
      <c r="E13" t="str">
        <f>IF(RawData!K13="","",
   IF(RawData!K13&gt;0,"Dealers Long (Sell Rips)","Dealers Short (Buy Rips)")
)</f>
        <v/>
      </c>
      <c r="F13" t="str">
        <f>IF(OR(RawData!I13="",RawData!O13=""),"",
   IF(RawData!I13&gt;0,
      IF(RawData!O13&gt;50,"Downside Pressure","Upside Drift"),
      IF(RawData!O13&gt;50,"Upside Pressure","Downside Drift")
   )
)</f>
        <v>Upside Drift</v>
      </c>
      <c r="G13" t="str">
        <f>IF(RawData!J13="","",
   IF(RawData!J13&lt;0,"Sell Into Close","Buy Into Close")
)</f>
        <v>Sell Into Close</v>
      </c>
      <c r="H13" t="e">
        <f>IF(RawData!E13="","",
   IF(ABS(RawData!E13 - RawData!D13)/RawData!D13 &lt; 0.02,"Near Call Wall","")
)</f>
        <v>#DIV/0!</v>
      </c>
      <c r="I13" t="e">
        <f>IF(RawData!F13="","",
   IF(ABS(RawData!F13 - RawData!D13)/RawData!D13 &lt; 0.02,"Near Put Wall","")
)</f>
        <v>#DIV/0!</v>
      </c>
      <c r="J13" t="str">
        <f>IF(RawData!G13="","",
   IF(RawData!G13 &lt; RawData!D13,"Below Flip","Above Flip")
)</f>
        <v>Above Flip</v>
      </c>
      <c r="K13" t="e">
        <f>IF(RawData!H13="","",
   (IF(LE[[#This Row],[GammaRegime]]="Long Gamma",10,0)) +
   (IF(RawData!K13&lt;0,10,0)) +
   (IF(AND(RawData!I13&lt;0,RawData!O13&gt;50),10,0)) +
   (IF(AND(RawData!I13&gt;0,RawData!O13&lt;50),10,0)) +
   (IF(ABS(RawData!E13 - RawData!D13)/RawData!D13 &lt; 0.02,5,0)) +
   (IF(RawData!G13&gt;RawData!D13,5,0)) +
   LE[[#This Row],[TierWeight]]
)</f>
        <v>#DIV/0!</v>
      </c>
      <c r="L13" t="e">
        <f>IF(RawData!H13="","",
   (IF(LE[[#This Row],[GammaRegime]]="Short Gamma",10,0)) +
   (IF(RawData!K13&gt;0,10,0)) +
   (IF(AND(RawData!I13&gt;0,RawData!O13&gt;50),10,0)) +
   (IF(AND(RawData!I13&lt;0,RawData!O13&lt;50),10,0)) +
   (IF(ABS(RawData!F13 - RawData!D13)/RawData!D13 &lt; 0.02,5,0)) +
   (IF(RawData!G13&lt;RawData!D13,5,0)) +
   LE[[#This Row],[TierWeight]]
)</f>
        <v>#DIV/0!</v>
      </c>
      <c r="M13" t="e">
        <f>IF(LE[[#This Row],[BullScore]]&gt;LE[[#This Row],[BearScore]],"Call",
   IF(LE[[#This Row],[BearScore]]&gt;LE[[#This Row],[BullScore]],"Put","Avoid")
)</f>
        <v>#DIV/0!</v>
      </c>
      <c r="N13" t="e">
        <f>MAX(LE[[#This Row],[BullScore]],LE[[#This Row],[BearScore]])</f>
        <v>#DIV/0!</v>
      </c>
      <c r="O1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4" spans="1:15" x14ac:dyDescent="0.25">
      <c r="A14" t="str">
        <f>RawData!A14</f>
        <v>FCX</v>
      </c>
      <c r="B14">
        <f>RawData!B14</f>
        <v>2</v>
      </c>
      <c r="C14" s="1">
        <f t="shared" si="0"/>
        <v>5</v>
      </c>
      <c r="D14" t="str">
        <f>IF(RawData!H14="","",
   IF(RawData!H14&gt;0,"Long Gamma","Short Gamma")
)</f>
        <v>Long Gamma</v>
      </c>
      <c r="E14" t="str">
        <f>IF(RawData!K14="","",
   IF(RawData!K14&gt;0,"Dealers Long (Sell Rips)","Dealers Short (Buy Rips)")
)</f>
        <v/>
      </c>
      <c r="F14" t="str">
        <f>IF(OR(RawData!I14="",RawData!O14=""),"",
   IF(RawData!I14&gt;0,
      IF(RawData!O14&gt;50,"Downside Pressure","Upside Drift"),
      IF(RawData!O14&gt;50,"Upside Pressure","Downside Drift")
   )
)</f>
        <v>Downside Pressure</v>
      </c>
      <c r="G14" t="str">
        <f>IF(RawData!J14="","",
   IF(RawData!J14&lt;0,"Sell Into Close","Buy Into Close")
)</f>
        <v>Sell Into Close</v>
      </c>
      <c r="H14" t="e">
        <f>IF(RawData!E14="","",
   IF(ABS(RawData!E14 - RawData!D14)/RawData!D14 &lt; 0.02,"Near Call Wall","")
)</f>
        <v>#DIV/0!</v>
      </c>
      <c r="I14" t="e">
        <f>IF(RawData!F14="","",
   IF(ABS(RawData!F14 - RawData!D14)/RawData!D14 &lt; 0.02,"Near Put Wall","")
)</f>
        <v>#DIV/0!</v>
      </c>
      <c r="J14" t="str">
        <f>IF(RawData!G14="","",
   IF(RawData!G14 &lt; RawData!D14,"Below Flip","Above Flip")
)</f>
        <v>Above Flip</v>
      </c>
      <c r="K14" t="e">
        <f>IF(RawData!H14="","",
   (IF(LE[[#This Row],[GammaRegime]]="Long Gamma",10,0)) +
   (IF(RawData!K14&lt;0,10,0)) +
   (IF(AND(RawData!I14&lt;0,RawData!O14&gt;50),10,0)) +
   (IF(AND(RawData!I14&gt;0,RawData!O14&lt;50),10,0)) +
   (IF(ABS(RawData!E14 - RawData!D14)/RawData!D14 &lt; 0.02,5,0)) +
   (IF(RawData!G14&gt;RawData!D14,5,0)) +
   LE[[#This Row],[TierWeight]]
)</f>
        <v>#DIV/0!</v>
      </c>
      <c r="L14" t="e">
        <f>IF(RawData!H14="","",
   (IF(LE[[#This Row],[GammaRegime]]="Short Gamma",10,0)) +
   (IF(RawData!K14&gt;0,10,0)) +
   (IF(AND(RawData!I14&gt;0,RawData!O14&gt;50),10,0)) +
   (IF(AND(RawData!I14&lt;0,RawData!O14&lt;50),10,0)) +
   (IF(ABS(RawData!F14 - RawData!D14)/RawData!D14 &lt; 0.02,5,0)) +
   (IF(RawData!G14&lt;RawData!D14,5,0)) +
   LE[[#This Row],[TierWeight]]
)</f>
        <v>#DIV/0!</v>
      </c>
      <c r="M14" t="e">
        <f>IF(LE[[#This Row],[BullScore]]&gt;LE[[#This Row],[BearScore]],"Call",
   IF(LE[[#This Row],[BearScore]]&gt;LE[[#This Row],[BullScore]],"Put","Avoid")
)</f>
        <v>#DIV/0!</v>
      </c>
      <c r="N14" t="e">
        <f>MAX(LE[[#This Row],[BullScore]],LE[[#This Row],[BearScore]])</f>
        <v>#DIV/0!</v>
      </c>
      <c r="O1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5" spans="1:15" x14ac:dyDescent="0.25">
      <c r="A15" t="str">
        <f>RawData!A15</f>
        <v>CCJ</v>
      </c>
      <c r="B15">
        <f>RawData!B15</f>
        <v>2</v>
      </c>
      <c r="C15" s="1">
        <f t="shared" si="0"/>
        <v>5</v>
      </c>
      <c r="D15" t="str">
        <f>IF(RawData!H15="","",
   IF(RawData!H15&gt;0,"Long Gamma","Short Gamma")
)</f>
        <v>Short Gamma</v>
      </c>
      <c r="E15" t="str">
        <f>IF(RawData!K15="","",
   IF(RawData!K15&gt;0,"Dealers Long (Sell Rips)","Dealers Short (Buy Rips)")
)</f>
        <v/>
      </c>
      <c r="F15" t="str">
        <f>IF(OR(RawData!I15="",RawData!O15=""),"",
   IF(RawData!I15&gt;0,
      IF(RawData!O15&gt;50,"Downside Pressure","Upside Drift"),
      IF(RawData!O15&gt;50,"Upside Pressure","Downside Drift")
   )
)</f>
        <v>Upside Drift</v>
      </c>
      <c r="G15" t="str">
        <f>IF(RawData!J15="","",
   IF(RawData!J15&lt;0,"Sell Into Close","Buy Into Close")
)</f>
        <v>Sell Into Close</v>
      </c>
      <c r="H15" t="e">
        <f>IF(RawData!E15="","",
   IF(ABS(RawData!E15 - RawData!D15)/RawData!D15 &lt; 0.02,"Near Call Wall","")
)</f>
        <v>#DIV/0!</v>
      </c>
      <c r="I15" t="e">
        <f>IF(RawData!F15="","",
   IF(ABS(RawData!F15 - RawData!D15)/RawData!D15 &lt; 0.02,"Near Put Wall","")
)</f>
        <v>#DIV/0!</v>
      </c>
      <c r="J15" t="str">
        <f>IF(RawData!G15="","",
   IF(RawData!G15 &lt; RawData!D15,"Below Flip","Above Flip")
)</f>
        <v>Above Flip</v>
      </c>
      <c r="K15" t="e">
        <f>IF(RawData!H15="","",
   (IF(LE[[#This Row],[GammaRegime]]="Long Gamma",10,0)) +
   (IF(RawData!K15&lt;0,10,0)) +
   (IF(AND(RawData!I15&lt;0,RawData!O15&gt;50),10,0)) +
   (IF(AND(RawData!I15&gt;0,RawData!O15&lt;50),10,0)) +
   (IF(ABS(RawData!E15 - RawData!D15)/RawData!D15 &lt; 0.02,5,0)) +
   (IF(RawData!G15&gt;RawData!D15,5,0)) +
   LE[[#This Row],[TierWeight]]
)</f>
        <v>#DIV/0!</v>
      </c>
      <c r="L15" t="e">
        <f>IF(RawData!H15="","",
   (IF(LE[[#This Row],[GammaRegime]]="Short Gamma",10,0)) +
   (IF(RawData!K15&gt;0,10,0)) +
   (IF(AND(RawData!I15&gt;0,RawData!O15&gt;50),10,0)) +
   (IF(AND(RawData!I15&lt;0,RawData!O15&lt;50),10,0)) +
   (IF(ABS(RawData!F15 - RawData!D15)/RawData!D15 &lt; 0.02,5,0)) +
   (IF(RawData!G15&lt;RawData!D15,5,0)) +
   LE[[#This Row],[TierWeight]]
)</f>
        <v>#DIV/0!</v>
      </c>
      <c r="M15" t="e">
        <f>IF(LE[[#This Row],[BullScore]]&gt;LE[[#This Row],[BearScore]],"Call",
   IF(LE[[#This Row],[BearScore]]&gt;LE[[#This Row],[BullScore]],"Put","Avoid")
)</f>
        <v>#DIV/0!</v>
      </c>
      <c r="N15" t="e">
        <f>MAX(LE[[#This Row],[BullScore]],LE[[#This Row],[BearScore]])</f>
        <v>#DIV/0!</v>
      </c>
      <c r="O1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6" spans="1:15" x14ac:dyDescent="0.25">
      <c r="A16" t="str">
        <f>RawData!A16</f>
        <v>NEM</v>
      </c>
      <c r="B16">
        <f>RawData!B16</f>
        <v>2</v>
      </c>
      <c r="C16">
        <f t="shared" si="0"/>
        <v>5</v>
      </c>
      <c r="D16" t="str">
        <f>IF(RawData!H16="","",
   IF(RawData!H16&gt;0,"Long Gamma","Short Gamma")
)</f>
        <v>Short Gamma</v>
      </c>
      <c r="E16" t="str">
        <f>IF(RawData!K16="","",
   IF(RawData!K16&gt;0,"Dealers Long (Sell Rips)","Dealers Short (Buy Rips)")
)</f>
        <v/>
      </c>
      <c r="F16" t="str">
        <f>IF(OR(RawData!I16="",RawData!O16=""),"",
   IF(RawData!I16&gt;0,
      IF(RawData!O16&gt;50,"Downside Pressure","Upside Drift"),
      IF(RawData!O16&gt;50,"Upside Pressure","Downside Drift")
   )
)</f>
        <v>Upside Drift</v>
      </c>
      <c r="G16" t="str">
        <f>IF(RawData!J16="","",
   IF(RawData!J16&lt;0,"Sell Into Close","Buy Into Close")
)</f>
        <v>Sell Into Close</v>
      </c>
      <c r="H16" t="e">
        <f>IF(RawData!E16="","",
   IF(ABS(RawData!E16 - RawData!D16)/RawData!D16 &lt; 0.02,"Near Call Wall","")
)</f>
        <v>#DIV/0!</v>
      </c>
      <c r="I16" t="e">
        <f>IF(RawData!F16="","",
   IF(ABS(RawData!F16 - RawData!D16)/RawData!D16 &lt; 0.02,"Near Put Wall","")
)</f>
        <v>#DIV/0!</v>
      </c>
      <c r="J16" t="str">
        <f>IF(RawData!G16="","",
   IF(RawData!G16 &lt; RawData!D16,"Below Flip","Above Flip")
)</f>
        <v>Above Flip</v>
      </c>
      <c r="K16" t="e">
        <f>IF(RawData!H16="","",
   (IF(LE[[#This Row],[GammaRegime]]="Long Gamma",10,0)) +
   (IF(RawData!K16&lt;0,10,0)) +
   (IF(AND(RawData!I16&lt;0,RawData!O16&gt;50),10,0)) +
   (IF(AND(RawData!I16&gt;0,RawData!O16&lt;50),10,0)) +
   (IF(ABS(RawData!E16 - RawData!D16)/RawData!D16 &lt; 0.02,5,0)) +
   (IF(RawData!G16&gt;RawData!D16,5,0)) +
   LE[[#This Row],[TierWeight]]
)</f>
        <v>#DIV/0!</v>
      </c>
      <c r="L16" t="e">
        <f>IF(RawData!H16="","",
   (IF(LE[[#This Row],[GammaRegime]]="Short Gamma",10,0)) +
   (IF(RawData!K16&gt;0,10,0)) +
   (IF(AND(RawData!I16&gt;0,RawData!O16&gt;50),10,0)) +
   (IF(AND(RawData!I16&lt;0,RawData!O16&lt;50),10,0)) +
   (IF(ABS(RawData!F16 - RawData!D16)/RawData!D16 &lt; 0.02,5,0)) +
   (IF(RawData!G16&lt;RawData!D16,5,0)) +
   LE[[#This Row],[TierWeight]]
)</f>
        <v>#DIV/0!</v>
      </c>
      <c r="M16" t="e">
        <f>IF(LE[[#This Row],[BullScore]]&gt;LE[[#This Row],[BearScore]],"Call",
   IF(LE[[#This Row],[BearScore]]&gt;LE[[#This Row],[BullScore]],"Put","Avoid")
)</f>
        <v>#DIV/0!</v>
      </c>
      <c r="N16" t="e">
        <f>MAX(LE[[#This Row],[BullScore]],LE[[#This Row],[BearScore]])</f>
        <v>#DIV/0!</v>
      </c>
      <c r="O1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7" spans="1:15" x14ac:dyDescent="0.25">
      <c r="A17" t="str">
        <f>RawData!A17</f>
        <v>VALE</v>
      </c>
      <c r="B17">
        <f>RawData!B17</f>
        <v>2</v>
      </c>
      <c r="C17">
        <f t="shared" si="0"/>
        <v>5</v>
      </c>
      <c r="D17" t="str">
        <f>IF(RawData!H17="","",
   IF(RawData!H17&gt;0,"Long Gamma","Short Gamma")
)</f>
        <v>Long Gamma</v>
      </c>
      <c r="E17" t="str">
        <f>IF(RawData!K17="","",
   IF(RawData!K17&gt;0,"Dealers Long (Sell Rips)","Dealers Short (Buy Rips)")
)</f>
        <v/>
      </c>
      <c r="F17" t="str">
        <f>IF(OR(RawData!I17="",RawData!O17=""),"",
   IF(RawData!I17&gt;0,
      IF(RawData!O17&gt;50,"Downside Pressure","Upside Drift"),
      IF(RawData!O17&gt;50,"Upside Pressure","Downside Drift")
   )
)</f>
        <v>Upside Drift</v>
      </c>
      <c r="G17" t="str">
        <f>IF(RawData!J17="","",
   IF(RawData!J17&lt;0,"Sell Into Close","Buy Into Close")
)</f>
        <v>Sell Into Close</v>
      </c>
      <c r="H17" t="e">
        <f>IF(RawData!E17="","",
   IF(ABS(RawData!E17 - RawData!D17)/RawData!D17 &lt; 0.02,"Near Call Wall","")
)</f>
        <v>#DIV/0!</v>
      </c>
      <c r="I17" t="e">
        <f>IF(RawData!F17="","",
   IF(ABS(RawData!F17 - RawData!D17)/RawData!D17 &lt; 0.02,"Near Put Wall","")
)</f>
        <v>#DIV/0!</v>
      </c>
      <c r="J17" t="str">
        <f>IF(RawData!G17="","",
   IF(RawData!G17 &lt; RawData!D17,"Below Flip","Above Flip")
)</f>
        <v>Above Flip</v>
      </c>
      <c r="K17" t="e">
        <f>IF(RawData!H17="","",
   (IF(LE[[#This Row],[GammaRegime]]="Long Gamma",10,0)) +
   (IF(RawData!K17&lt;0,10,0)) +
   (IF(AND(RawData!I17&lt;0,RawData!O17&gt;50),10,0)) +
   (IF(AND(RawData!I17&gt;0,RawData!O17&lt;50),10,0)) +
   (IF(ABS(RawData!E17 - RawData!D17)/RawData!D17 &lt; 0.02,5,0)) +
   (IF(RawData!G17&gt;RawData!D17,5,0)) +
   LE[[#This Row],[TierWeight]]
)</f>
        <v>#DIV/0!</v>
      </c>
      <c r="L17" t="e">
        <f>IF(RawData!H17="","",
   (IF(LE[[#This Row],[GammaRegime]]="Short Gamma",10,0)) +
   (IF(RawData!K17&gt;0,10,0)) +
   (IF(AND(RawData!I17&gt;0,RawData!O17&gt;50),10,0)) +
   (IF(AND(RawData!I17&lt;0,RawData!O17&lt;50),10,0)) +
   (IF(ABS(RawData!F17 - RawData!D17)/RawData!D17 &lt; 0.02,5,0)) +
   (IF(RawData!G17&lt;RawData!D17,5,0)) +
   LE[[#This Row],[TierWeight]]
)</f>
        <v>#DIV/0!</v>
      </c>
      <c r="M17" t="e">
        <f>IF(LE[[#This Row],[BullScore]]&gt;LE[[#This Row],[BearScore]],"Call",
   IF(LE[[#This Row],[BearScore]]&gt;LE[[#This Row],[BullScore]],"Put","Avoid")
)</f>
        <v>#DIV/0!</v>
      </c>
      <c r="N17" t="e">
        <f>MAX(LE[[#This Row],[BullScore]],LE[[#This Row],[BearScore]])</f>
        <v>#DIV/0!</v>
      </c>
      <c r="O1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8" spans="1:15" x14ac:dyDescent="0.25">
      <c r="A18" t="str">
        <f>RawData!A18</f>
        <v>IBM</v>
      </c>
      <c r="B18">
        <f>RawData!B18</f>
        <v>1</v>
      </c>
      <c r="C18">
        <f t="shared" si="0"/>
        <v>10</v>
      </c>
      <c r="D18" t="str">
        <f>IF(RawData!H18="","",
   IF(RawData!H18&gt;0,"Long Gamma","Short Gamma")
)</f>
        <v>Long Gamma</v>
      </c>
      <c r="E18" t="str">
        <f>IF(RawData!K18="","",
   IF(RawData!K18&gt;0,"Dealers Long (Sell Rips)","Dealers Short (Buy Rips)")
)</f>
        <v/>
      </c>
      <c r="F18" t="str">
        <f>IF(OR(RawData!I18="",RawData!O18=""),"",
   IF(RawData!I18&gt;0,
      IF(RawData!O18&gt;50,"Downside Pressure","Upside Drift"),
      IF(RawData!O18&gt;50,"Upside Pressure","Downside Drift")
   )
)</f>
        <v>Downside Pressure</v>
      </c>
      <c r="G18" t="str">
        <f>IF(RawData!J18="","",
   IF(RawData!J18&lt;0,"Sell Into Close","Buy Into Close")
)</f>
        <v>Sell Into Close</v>
      </c>
      <c r="H18" t="e">
        <f>IF(RawData!E18="","",
   IF(ABS(RawData!E18 - RawData!D18)/RawData!D18 &lt; 0.02,"Near Call Wall","")
)</f>
        <v>#DIV/0!</v>
      </c>
      <c r="I18" t="e">
        <f>IF(RawData!F18="","",
   IF(ABS(RawData!F18 - RawData!D18)/RawData!D18 &lt; 0.02,"Near Put Wall","")
)</f>
        <v>#DIV/0!</v>
      </c>
      <c r="J18" t="str">
        <f>IF(RawData!G18="","",
   IF(RawData!G18 &lt; RawData!D18,"Below Flip","Above Flip")
)</f>
        <v>Above Flip</v>
      </c>
      <c r="K18" t="e">
        <f>IF(RawData!H18="","",
   (IF(LE[[#This Row],[GammaRegime]]="Long Gamma",10,0)) +
   (IF(RawData!K18&lt;0,10,0)) +
   (IF(AND(RawData!I18&lt;0,RawData!O18&gt;50),10,0)) +
   (IF(AND(RawData!I18&gt;0,RawData!O18&lt;50),10,0)) +
   (IF(ABS(RawData!E18 - RawData!D18)/RawData!D18 &lt; 0.02,5,0)) +
   (IF(RawData!G18&gt;RawData!D18,5,0)) +
   LE[[#This Row],[TierWeight]]
)</f>
        <v>#DIV/0!</v>
      </c>
      <c r="L18" t="e">
        <f>IF(RawData!H18="","",
   (IF(LE[[#This Row],[GammaRegime]]="Short Gamma",10,0)) +
   (IF(RawData!K18&gt;0,10,0)) +
   (IF(AND(RawData!I18&gt;0,RawData!O18&gt;50),10,0)) +
   (IF(AND(RawData!I18&lt;0,RawData!O18&lt;50),10,0)) +
   (IF(ABS(RawData!F18 - RawData!D18)/RawData!D18 &lt; 0.02,5,0)) +
   (IF(RawData!G18&lt;RawData!D18,5,0)) +
   LE[[#This Row],[TierWeight]]
)</f>
        <v>#DIV/0!</v>
      </c>
      <c r="M18" t="e">
        <f>IF(LE[[#This Row],[BullScore]]&gt;LE[[#This Row],[BearScore]],"Call",
   IF(LE[[#This Row],[BearScore]]&gt;LE[[#This Row],[BullScore]],"Put","Avoid")
)</f>
        <v>#DIV/0!</v>
      </c>
      <c r="N18" t="e">
        <f>MAX(LE[[#This Row],[BullScore]],LE[[#This Row],[BearScore]])</f>
        <v>#DIV/0!</v>
      </c>
      <c r="O1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19" spans="1:15" x14ac:dyDescent="0.25">
      <c r="A19" t="str">
        <f>RawData!A19</f>
        <v>CRWV</v>
      </c>
      <c r="B19">
        <f>RawData!B19</f>
        <v>3</v>
      </c>
      <c r="C19">
        <f t="shared" si="0"/>
        <v>0</v>
      </c>
      <c r="D19" t="str">
        <f>IF(RawData!H19="","",
   IF(RawData!H19&gt;0,"Long Gamma","Short Gamma")
)</f>
        <v>Long Gamma</v>
      </c>
      <c r="E19" t="str">
        <f>IF(RawData!K19="","",
   IF(RawData!K19&gt;0,"Dealers Long (Sell Rips)","Dealers Short (Buy Rips)")
)</f>
        <v/>
      </c>
      <c r="F19" t="str">
        <f>IF(OR(RawData!I19="",RawData!O19=""),"",
   IF(RawData!I19&gt;0,
      IF(RawData!O19&gt;50,"Downside Pressure","Upside Drift"),
      IF(RawData!O19&gt;50,"Upside Pressure","Downside Drift")
   )
)</f>
        <v>Upside Drift</v>
      </c>
      <c r="G19" t="str">
        <f>IF(RawData!J19="","",
   IF(RawData!J19&lt;0,"Sell Into Close","Buy Into Close")
)</f>
        <v>Sell Into Close</v>
      </c>
      <c r="H19" t="e">
        <f>IF(RawData!E19="","",
   IF(ABS(RawData!E19 - RawData!D19)/RawData!D19 &lt; 0.02,"Near Call Wall","")
)</f>
        <v>#DIV/0!</v>
      </c>
      <c r="I19" t="e">
        <f>IF(RawData!F19="","",
   IF(ABS(RawData!F19 - RawData!D19)/RawData!D19 &lt; 0.02,"Near Put Wall","")
)</f>
        <v>#DIV/0!</v>
      </c>
      <c r="J19" t="str">
        <f>IF(RawData!G19="","",
   IF(RawData!G19 &lt; RawData!D19,"Below Flip","Above Flip")
)</f>
        <v>Above Flip</v>
      </c>
      <c r="K19" t="e">
        <f>IF(RawData!H19="","",
   (IF(LE[[#This Row],[GammaRegime]]="Long Gamma",10,0)) +
   (IF(RawData!K19&lt;0,10,0)) +
   (IF(AND(RawData!I19&lt;0,RawData!O19&gt;50),10,0)) +
   (IF(AND(RawData!I19&gt;0,RawData!O19&lt;50),10,0)) +
   (IF(ABS(RawData!E19 - RawData!D19)/RawData!D19 &lt; 0.02,5,0)) +
   (IF(RawData!G19&gt;RawData!D19,5,0)) +
   LE[[#This Row],[TierWeight]]
)</f>
        <v>#DIV/0!</v>
      </c>
      <c r="L19" t="e">
        <f>IF(RawData!H19="","",
   (IF(LE[[#This Row],[GammaRegime]]="Short Gamma",10,0)) +
   (IF(RawData!K19&gt;0,10,0)) +
   (IF(AND(RawData!I19&gt;0,RawData!O19&gt;50),10,0)) +
   (IF(AND(RawData!I19&lt;0,RawData!O19&lt;50),10,0)) +
   (IF(ABS(RawData!F19 - RawData!D19)/RawData!D19 &lt; 0.02,5,0)) +
   (IF(RawData!G19&lt;RawData!D19,5,0)) +
   LE[[#This Row],[TierWeight]]
)</f>
        <v>#DIV/0!</v>
      </c>
      <c r="M19" t="e">
        <f>IF(LE[[#This Row],[BullScore]]&gt;LE[[#This Row],[BearScore]],"Call",
   IF(LE[[#This Row],[BearScore]]&gt;LE[[#This Row],[BullScore]],"Put","Avoid")
)</f>
        <v>#DIV/0!</v>
      </c>
      <c r="N19" t="e">
        <f>MAX(LE[[#This Row],[BullScore]],LE[[#This Row],[BearScore]])</f>
        <v>#DIV/0!</v>
      </c>
      <c r="O1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0" spans="1:15" x14ac:dyDescent="0.25">
      <c r="A20" t="str">
        <f>RawData!A20</f>
        <v>CSCO</v>
      </c>
      <c r="B20">
        <f>RawData!B20</f>
        <v>1</v>
      </c>
      <c r="C20">
        <f t="shared" si="0"/>
        <v>10</v>
      </c>
      <c r="D20" t="str">
        <f>IF(RawData!H20="","",
   IF(RawData!H20&gt;0,"Long Gamma","Short Gamma")
)</f>
        <v>Long Gamma</v>
      </c>
      <c r="E20" t="str">
        <f>IF(RawData!K20="","",
   IF(RawData!K20&gt;0,"Dealers Long (Sell Rips)","Dealers Short (Buy Rips)")
)</f>
        <v/>
      </c>
      <c r="F20" t="str">
        <f>IF(OR(RawData!I20="",RawData!O20=""),"",
   IF(RawData!I20&gt;0,
      IF(RawData!O20&gt;50,"Downside Pressure","Upside Drift"),
      IF(RawData!O20&gt;50,"Upside Pressure","Downside Drift")
   )
)</f>
        <v>Downside Pressure</v>
      </c>
      <c r="G20" t="str">
        <f>IF(RawData!J20="","",
   IF(RawData!J20&lt;0,"Sell Into Close","Buy Into Close")
)</f>
        <v>Sell Into Close</v>
      </c>
      <c r="H20" t="e">
        <f>IF(RawData!E20="","",
   IF(ABS(RawData!E20 - RawData!D20)/RawData!D20 &lt; 0.02,"Near Call Wall","")
)</f>
        <v>#DIV/0!</v>
      </c>
      <c r="I20" t="e">
        <f>IF(RawData!F20="","",
   IF(ABS(RawData!F20 - RawData!D20)/RawData!D20 &lt; 0.02,"Near Put Wall","")
)</f>
        <v>#DIV/0!</v>
      </c>
      <c r="J20" t="str">
        <f>IF(RawData!G20="","",
   IF(RawData!G20 &lt; RawData!D20,"Below Flip","Above Flip")
)</f>
        <v>Above Flip</v>
      </c>
      <c r="K20" t="e">
        <f>IF(RawData!H20="","",
   (IF(LE[[#This Row],[GammaRegime]]="Long Gamma",10,0)) +
   (IF(RawData!K20&lt;0,10,0)) +
   (IF(AND(RawData!I20&lt;0,RawData!O20&gt;50),10,0)) +
   (IF(AND(RawData!I20&gt;0,RawData!O20&lt;50),10,0)) +
   (IF(ABS(RawData!E20 - RawData!D20)/RawData!D20 &lt; 0.02,5,0)) +
   (IF(RawData!G20&gt;RawData!D20,5,0)) +
   LE[[#This Row],[TierWeight]]
)</f>
        <v>#DIV/0!</v>
      </c>
      <c r="L20" t="e">
        <f>IF(RawData!H20="","",
   (IF(LE[[#This Row],[GammaRegime]]="Short Gamma",10,0)) +
   (IF(RawData!K20&gt;0,10,0)) +
   (IF(AND(RawData!I20&gt;0,RawData!O20&gt;50),10,0)) +
   (IF(AND(RawData!I20&lt;0,RawData!O20&lt;50),10,0)) +
   (IF(ABS(RawData!F20 - RawData!D20)/RawData!D20 &lt; 0.02,5,0)) +
   (IF(RawData!G20&lt;RawData!D20,5,0)) +
   LE[[#This Row],[TierWeight]]
)</f>
        <v>#DIV/0!</v>
      </c>
      <c r="M20" t="e">
        <f>IF(LE[[#This Row],[BullScore]]&gt;LE[[#This Row],[BearScore]],"Call",
   IF(LE[[#This Row],[BearScore]]&gt;LE[[#This Row],[BullScore]],"Put","Avoid")
)</f>
        <v>#DIV/0!</v>
      </c>
      <c r="N20" t="e">
        <f>MAX(LE[[#This Row],[BullScore]],LE[[#This Row],[BearScore]])</f>
        <v>#DIV/0!</v>
      </c>
      <c r="O2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1" spans="1:15" x14ac:dyDescent="0.25">
      <c r="A21" t="str">
        <f>RawData!A21</f>
        <v>PANW</v>
      </c>
      <c r="B21">
        <f>RawData!B21</f>
        <v>1</v>
      </c>
      <c r="C21">
        <f t="shared" si="0"/>
        <v>10</v>
      </c>
      <c r="D21" t="str">
        <f>IF(RawData!H21="","",
   IF(RawData!H21&gt;0,"Long Gamma","Short Gamma")
)</f>
        <v>Long Gamma</v>
      </c>
      <c r="E21" t="str">
        <f>IF(RawData!K21="","",
   IF(RawData!K21&gt;0,"Dealers Long (Sell Rips)","Dealers Short (Buy Rips)")
)</f>
        <v/>
      </c>
      <c r="F21" t="str">
        <f>IF(OR(RawData!I21="",RawData!O21=""),"",
   IF(RawData!I21&gt;0,
      IF(RawData!O21&gt;50,"Downside Pressure","Upside Drift"),
      IF(RawData!O21&gt;50,"Upside Pressure","Downside Drift")
   )
)</f>
        <v>Downside Pressure</v>
      </c>
      <c r="G21" t="str">
        <f>IF(RawData!J21="","",
   IF(RawData!J21&lt;0,"Sell Into Close","Buy Into Close")
)</f>
        <v>Sell Into Close</v>
      </c>
      <c r="H21" t="e">
        <f>IF(RawData!E21="","",
   IF(ABS(RawData!E21 - RawData!D21)/RawData!D21 &lt; 0.02,"Near Call Wall","")
)</f>
        <v>#DIV/0!</v>
      </c>
      <c r="I21" t="e">
        <f>IF(RawData!F21="","",
   IF(ABS(RawData!F21 - RawData!D21)/RawData!D21 &lt; 0.02,"Near Put Wall","")
)</f>
        <v>#DIV/0!</v>
      </c>
      <c r="J21" t="str">
        <f>IF(RawData!G21="","",
   IF(RawData!G21 &lt; RawData!D21,"Below Flip","Above Flip")
)</f>
        <v>Above Flip</v>
      </c>
      <c r="K21" t="e">
        <f>IF(RawData!H21="","",
   (IF(LE[[#This Row],[GammaRegime]]="Long Gamma",10,0)) +
   (IF(RawData!K21&lt;0,10,0)) +
   (IF(AND(RawData!I21&lt;0,RawData!O21&gt;50),10,0)) +
   (IF(AND(RawData!I21&gt;0,RawData!O21&lt;50),10,0)) +
   (IF(ABS(RawData!E21 - RawData!D21)/RawData!D21 &lt; 0.02,5,0)) +
   (IF(RawData!G21&gt;RawData!D21,5,0)) +
   LE[[#This Row],[TierWeight]]
)</f>
        <v>#DIV/0!</v>
      </c>
      <c r="L21" t="e">
        <f>IF(RawData!H21="","",
   (IF(LE[[#This Row],[GammaRegime]]="Short Gamma",10,0)) +
   (IF(RawData!K21&gt;0,10,0)) +
   (IF(AND(RawData!I21&gt;0,RawData!O21&gt;50),10,0)) +
   (IF(AND(RawData!I21&lt;0,RawData!O21&lt;50),10,0)) +
   (IF(ABS(RawData!F21 - RawData!D21)/RawData!D21 &lt; 0.02,5,0)) +
   (IF(RawData!G21&lt;RawData!D21,5,0)) +
   LE[[#This Row],[TierWeight]]
)</f>
        <v>#DIV/0!</v>
      </c>
      <c r="M21" t="e">
        <f>IF(LE[[#This Row],[BullScore]]&gt;LE[[#This Row],[BearScore]],"Call",
   IF(LE[[#This Row],[BearScore]]&gt;LE[[#This Row],[BullScore]],"Put","Avoid")
)</f>
        <v>#DIV/0!</v>
      </c>
      <c r="N21" t="e">
        <f>MAX(LE[[#This Row],[BullScore]],LE[[#This Row],[BearScore]])</f>
        <v>#DIV/0!</v>
      </c>
      <c r="O2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2" spans="1:15" x14ac:dyDescent="0.25">
      <c r="A22" t="str">
        <f>RawData!A22</f>
        <v>ORCL</v>
      </c>
      <c r="B22">
        <f>RawData!B22</f>
        <v>1</v>
      </c>
      <c r="C22">
        <f t="shared" si="0"/>
        <v>10</v>
      </c>
      <c r="D22" t="str">
        <f>IF(RawData!H22="","",
   IF(RawData!H22&gt;0,"Long Gamma","Short Gamma")
)</f>
        <v>Long Gamma</v>
      </c>
      <c r="E22" t="str">
        <f>IF(RawData!K22="","",
   IF(RawData!K22&gt;0,"Dealers Long (Sell Rips)","Dealers Short (Buy Rips)")
)</f>
        <v/>
      </c>
      <c r="F22" t="str">
        <f>IF(OR(RawData!I22="",RawData!O22=""),"",
   IF(RawData!I22&gt;0,
      IF(RawData!O22&gt;50,"Downside Pressure","Upside Drift"),
      IF(RawData!O22&gt;50,"Upside Pressure","Downside Drift")
   )
)</f>
        <v/>
      </c>
      <c r="G22" t="str">
        <f>IF(RawData!J22="","",
   IF(RawData!J22&lt;0,"Sell Into Close","Buy Into Close")
)</f>
        <v>Sell Into Close</v>
      </c>
      <c r="H22" t="e">
        <f>IF(RawData!E22="","",
   IF(ABS(RawData!E22 - RawData!D22)/RawData!D22 &lt; 0.02,"Near Call Wall","")
)</f>
        <v>#DIV/0!</v>
      </c>
      <c r="I22" t="e">
        <f>IF(RawData!F22="","",
   IF(ABS(RawData!F22 - RawData!D22)/RawData!D22 &lt; 0.02,"Near Put Wall","")
)</f>
        <v>#DIV/0!</v>
      </c>
      <c r="J22" t="str">
        <f>IF(RawData!G22="","",
   IF(RawData!G22 &lt; RawData!D22,"Below Flip","Above Flip")
)</f>
        <v>Above Flip</v>
      </c>
      <c r="K22" t="e">
        <f>IF(RawData!H22="","",
   (IF(LE[[#This Row],[GammaRegime]]="Long Gamma",10,0)) +
   (IF(RawData!K22&lt;0,10,0)) +
   (IF(AND(RawData!I22&lt;0,RawData!O22&gt;50),10,0)) +
   (IF(AND(RawData!I22&gt;0,RawData!O22&lt;50),10,0)) +
   (IF(ABS(RawData!E22 - RawData!D22)/RawData!D22 &lt; 0.02,5,0)) +
   (IF(RawData!G22&gt;RawData!D22,5,0)) +
   LE[[#This Row],[TierWeight]]
)</f>
        <v>#DIV/0!</v>
      </c>
      <c r="L22" t="e">
        <f>IF(RawData!H22="","",
   (IF(LE[[#This Row],[GammaRegime]]="Short Gamma",10,0)) +
   (IF(RawData!K22&gt;0,10,0)) +
   (IF(AND(RawData!I22&gt;0,RawData!O22&gt;50),10,0)) +
   (IF(AND(RawData!I22&lt;0,RawData!O22&lt;50),10,0)) +
   (IF(ABS(RawData!F22 - RawData!D22)/RawData!D22 &lt; 0.02,5,0)) +
   (IF(RawData!G22&lt;RawData!D22,5,0)) +
   LE[[#This Row],[TierWeight]]
)</f>
        <v>#DIV/0!</v>
      </c>
      <c r="M22" t="e">
        <f>IF(LE[[#This Row],[BullScore]]&gt;LE[[#This Row],[BearScore]],"Call",
   IF(LE[[#This Row],[BearScore]]&gt;LE[[#This Row],[BullScore]],"Put","Avoid")
)</f>
        <v>#DIV/0!</v>
      </c>
      <c r="N22" t="e">
        <f>MAX(LE[[#This Row],[BullScore]],LE[[#This Row],[BearScore]])</f>
        <v>#DIV/0!</v>
      </c>
      <c r="O2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3" spans="1:15" x14ac:dyDescent="0.25">
      <c r="A23" t="str">
        <f>RawData!A23</f>
        <v>NET</v>
      </c>
      <c r="B23">
        <f>RawData!B23</f>
        <v>1</v>
      </c>
      <c r="C23">
        <f t="shared" si="0"/>
        <v>10</v>
      </c>
      <c r="D23" t="str">
        <f>IF(RawData!H23="","",
   IF(RawData!H23&gt;0,"Long Gamma","Short Gamma")
)</f>
        <v>Long Gamma</v>
      </c>
      <c r="E23" t="str">
        <f>IF(RawData!K23="","",
   IF(RawData!K23&gt;0,"Dealers Long (Sell Rips)","Dealers Short (Buy Rips)")
)</f>
        <v/>
      </c>
      <c r="F23" t="str">
        <f>IF(OR(RawData!I23="",RawData!O23=""),"",
   IF(RawData!I23&gt;0,
      IF(RawData!O23&gt;50,"Downside Pressure","Upside Drift"),
      IF(RawData!O23&gt;50,"Upside Pressure","Downside Drift")
   )
)</f>
        <v>Upside Drift</v>
      </c>
      <c r="G23" t="str">
        <f>IF(RawData!J23="","",
   IF(RawData!J23&lt;0,"Sell Into Close","Buy Into Close")
)</f>
        <v>Sell Into Close</v>
      </c>
      <c r="H23" t="e">
        <f>IF(RawData!E23="","",
   IF(ABS(RawData!E23 - RawData!D23)/RawData!D23 &lt; 0.02,"Near Call Wall","")
)</f>
        <v>#DIV/0!</v>
      </c>
      <c r="I23" t="e">
        <f>IF(RawData!F23="","",
   IF(ABS(RawData!F23 - RawData!D23)/RawData!D23 &lt; 0.02,"Near Put Wall","")
)</f>
        <v>#DIV/0!</v>
      </c>
      <c r="J23" t="str">
        <f>IF(RawData!G23="","",
   IF(RawData!G23 &lt; RawData!D23,"Below Flip","Above Flip")
)</f>
        <v>Above Flip</v>
      </c>
      <c r="K23" t="e">
        <f>IF(RawData!H23="","",
   (IF(LE[[#This Row],[GammaRegime]]="Long Gamma",10,0)) +
   (IF(RawData!K23&lt;0,10,0)) +
   (IF(AND(RawData!I23&lt;0,RawData!O23&gt;50),10,0)) +
   (IF(AND(RawData!I23&gt;0,RawData!O23&lt;50),10,0)) +
   (IF(ABS(RawData!E23 - RawData!D23)/RawData!D23 &lt; 0.02,5,0)) +
   (IF(RawData!G23&gt;RawData!D23,5,0)) +
   LE[[#This Row],[TierWeight]]
)</f>
        <v>#DIV/0!</v>
      </c>
      <c r="L23" t="e">
        <f>IF(RawData!H23="","",
   (IF(LE[[#This Row],[GammaRegime]]="Short Gamma",10,0)) +
   (IF(RawData!K23&gt;0,10,0)) +
   (IF(AND(RawData!I23&gt;0,RawData!O23&gt;50),10,0)) +
   (IF(AND(RawData!I23&lt;0,RawData!O23&lt;50),10,0)) +
   (IF(ABS(RawData!F23 - RawData!D23)/RawData!D23 &lt; 0.02,5,0)) +
   (IF(RawData!G23&lt;RawData!D23,5,0)) +
   LE[[#This Row],[TierWeight]]
)</f>
        <v>#DIV/0!</v>
      </c>
      <c r="M23" t="e">
        <f>IF(LE[[#This Row],[BullScore]]&gt;LE[[#This Row],[BearScore]],"Call",
   IF(LE[[#This Row],[BearScore]]&gt;LE[[#This Row],[BullScore]],"Put","Avoid")
)</f>
        <v>#DIV/0!</v>
      </c>
      <c r="N23" t="e">
        <f>MAX(LE[[#This Row],[BullScore]],LE[[#This Row],[BearScore]])</f>
        <v>#DIV/0!</v>
      </c>
      <c r="O2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4" spans="1:15" x14ac:dyDescent="0.25">
      <c r="A24" t="str">
        <f>RawData!A24</f>
        <v>CRWD</v>
      </c>
      <c r="B24">
        <f>RawData!B24</f>
        <v>1</v>
      </c>
      <c r="C24">
        <f t="shared" si="0"/>
        <v>10</v>
      </c>
      <c r="D24" t="str">
        <f>IF(RawData!H24="","",
   IF(RawData!H24&gt;0,"Long Gamma","Short Gamma")
)</f>
        <v>Short Gamma</v>
      </c>
      <c r="E24" t="str">
        <f>IF(RawData!K24="","",
   IF(RawData!K24&gt;0,"Dealers Long (Sell Rips)","Dealers Short (Buy Rips)")
)</f>
        <v/>
      </c>
      <c r="F24" t="str">
        <f>IF(OR(RawData!I24="",RawData!O24=""),"",
   IF(RawData!I24&gt;0,
      IF(RawData!O24&gt;50,"Downside Pressure","Upside Drift"),
      IF(RawData!O24&gt;50,"Upside Pressure","Downside Drift")
   )
)</f>
        <v>Downside Pressure</v>
      </c>
      <c r="G24" t="str">
        <f>IF(RawData!J24="","",
   IF(RawData!J24&lt;0,"Sell Into Close","Buy Into Close")
)</f>
        <v>Sell Into Close</v>
      </c>
      <c r="H24" t="e">
        <f>IF(RawData!E24="","",
   IF(ABS(RawData!E24 - RawData!D24)/RawData!D24 &lt; 0.02,"Near Call Wall","")
)</f>
        <v>#DIV/0!</v>
      </c>
      <c r="I24" t="e">
        <f>IF(RawData!F24="","",
   IF(ABS(RawData!F24 - RawData!D24)/RawData!D24 &lt; 0.02,"Near Put Wall","")
)</f>
        <v>#DIV/0!</v>
      </c>
      <c r="J24" t="str">
        <f>IF(RawData!G24="","",
   IF(RawData!G24 &lt; RawData!D24,"Below Flip","Above Flip")
)</f>
        <v>Above Flip</v>
      </c>
      <c r="K24" t="e">
        <f>IF(RawData!H24="","",
   (IF(LE[[#This Row],[GammaRegime]]="Long Gamma",10,0)) +
   (IF(RawData!K24&lt;0,10,0)) +
   (IF(AND(RawData!I24&lt;0,RawData!O24&gt;50),10,0)) +
   (IF(AND(RawData!I24&gt;0,RawData!O24&lt;50),10,0)) +
   (IF(ABS(RawData!E24 - RawData!D24)/RawData!D24 &lt; 0.02,5,0)) +
   (IF(RawData!G24&gt;RawData!D24,5,0)) +
   LE[[#This Row],[TierWeight]]
)</f>
        <v>#DIV/0!</v>
      </c>
      <c r="L24" t="e">
        <f>IF(RawData!H24="","",
   (IF(LE[[#This Row],[GammaRegime]]="Short Gamma",10,0)) +
   (IF(RawData!K24&gt;0,10,0)) +
   (IF(AND(RawData!I24&gt;0,RawData!O24&gt;50),10,0)) +
   (IF(AND(RawData!I24&lt;0,RawData!O24&lt;50),10,0)) +
   (IF(ABS(RawData!F24 - RawData!D24)/RawData!D24 &lt; 0.02,5,0)) +
   (IF(RawData!G24&lt;RawData!D24,5,0)) +
   LE[[#This Row],[TierWeight]]
)</f>
        <v>#DIV/0!</v>
      </c>
      <c r="M24" t="e">
        <f>IF(LE[[#This Row],[BullScore]]&gt;LE[[#This Row],[BearScore]],"Call",
   IF(LE[[#This Row],[BearScore]]&gt;LE[[#This Row],[BullScore]],"Put","Avoid")
)</f>
        <v>#DIV/0!</v>
      </c>
      <c r="N24" t="e">
        <f>MAX(LE[[#This Row],[BullScore]],LE[[#This Row],[BearScore]])</f>
        <v>#DIV/0!</v>
      </c>
      <c r="O2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5" spans="1:15" x14ac:dyDescent="0.25">
      <c r="A25" t="str">
        <f>RawData!A25</f>
        <v>CRM</v>
      </c>
      <c r="B25">
        <f>RawData!B25</f>
        <v>1</v>
      </c>
      <c r="C25">
        <f t="shared" si="0"/>
        <v>10</v>
      </c>
      <c r="D25" t="str">
        <f>IF(RawData!H25="","",
   IF(RawData!H25&gt;0,"Long Gamma","Short Gamma")
)</f>
        <v>Long Gamma</v>
      </c>
      <c r="E25" t="str">
        <f>IF(RawData!K25="","",
   IF(RawData!K25&gt;0,"Dealers Long (Sell Rips)","Dealers Short (Buy Rips)")
)</f>
        <v/>
      </c>
      <c r="F25" t="str">
        <f>IF(OR(RawData!I25="",RawData!O25=""),"",
   IF(RawData!I25&gt;0,
      IF(RawData!O25&gt;50,"Downside Pressure","Upside Drift"),
      IF(RawData!O25&gt;50,"Upside Pressure","Downside Drift")
   )
)</f>
        <v>Downside Pressure</v>
      </c>
      <c r="G25" t="str">
        <f>IF(RawData!J25="","",
   IF(RawData!J25&lt;0,"Sell Into Close","Buy Into Close")
)</f>
        <v>Sell Into Close</v>
      </c>
      <c r="H25" t="e">
        <f>IF(RawData!E25="","",
   IF(ABS(RawData!E25 - RawData!D25)/RawData!D25 &lt; 0.02,"Near Call Wall","")
)</f>
        <v>#DIV/0!</v>
      </c>
      <c r="I25" t="e">
        <f>IF(RawData!F25="","",
   IF(ABS(RawData!F25 - RawData!D25)/RawData!D25 &lt; 0.02,"Near Put Wall","")
)</f>
        <v>#DIV/0!</v>
      </c>
      <c r="J25" t="str">
        <f>IF(RawData!G25="","",
   IF(RawData!G25 &lt; RawData!D25,"Below Flip","Above Flip")
)</f>
        <v>Above Flip</v>
      </c>
      <c r="K25" t="e">
        <f>IF(RawData!H25="","",
   (IF(LE[[#This Row],[GammaRegime]]="Long Gamma",10,0)) +
   (IF(RawData!K25&lt;0,10,0)) +
   (IF(AND(RawData!I25&lt;0,RawData!O25&gt;50),10,0)) +
   (IF(AND(RawData!I25&gt;0,RawData!O25&lt;50),10,0)) +
   (IF(ABS(RawData!E25 - RawData!D25)/RawData!D25 &lt; 0.02,5,0)) +
   (IF(RawData!G25&gt;RawData!D25,5,0)) +
   LE[[#This Row],[TierWeight]]
)</f>
        <v>#DIV/0!</v>
      </c>
      <c r="L25" t="e">
        <f>IF(RawData!H25="","",
   (IF(LE[[#This Row],[GammaRegime]]="Short Gamma",10,0)) +
   (IF(RawData!K25&gt;0,10,0)) +
   (IF(AND(RawData!I25&gt;0,RawData!O25&gt;50),10,0)) +
   (IF(AND(RawData!I25&lt;0,RawData!O25&lt;50),10,0)) +
   (IF(ABS(RawData!F25 - RawData!D25)/RawData!D25 &lt; 0.02,5,0)) +
   (IF(RawData!G25&lt;RawData!D25,5,0)) +
   LE[[#This Row],[TierWeight]]
)</f>
        <v>#DIV/0!</v>
      </c>
      <c r="M25" t="e">
        <f>IF(LE[[#This Row],[BullScore]]&gt;LE[[#This Row],[BearScore]],"Call",
   IF(LE[[#This Row],[BearScore]]&gt;LE[[#This Row],[BullScore]],"Put","Avoid")
)</f>
        <v>#DIV/0!</v>
      </c>
      <c r="N25" t="e">
        <f>MAX(LE[[#This Row],[BullScore]],LE[[#This Row],[BearScore]])</f>
        <v>#DIV/0!</v>
      </c>
      <c r="O2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6" spans="1:15" x14ac:dyDescent="0.25">
      <c r="A26" t="str">
        <f>RawData!A26</f>
        <v>NOW</v>
      </c>
      <c r="B26">
        <f>RawData!B26</f>
        <v>1</v>
      </c>
      <c r="C26">
        <f t="shared" si="0"/>
        <v>10</v>
      </c>
      <c r="D26" t="str">
        <f>IF(RawData!H26="","",
   IF(RawData!H26&gt;0,"Long Gamma","Short Gamma")
)</f>
        <v>Long Gamma</v>
      </c>
      <c r="E26" t="str">
        <f>IF(RawData!K26="","",
   IF(RawData!K26&gt;0,"Dealers Long (Sell Rips)","Dealers Short (Buy Rips)")
)</f>
        <v/>
      </c>
      <c r="F26" t="str">
        <f>IF(OR(RawData!I26="",RawData!O26=""),"",
   IF(RawData!I26&gt;0,
      IF(RawData!O26&gt;50,"Downside Pressure","Upside Drift"),
      IF(RawData!O26&gt;50,"Upside Pressure","Downside Drift")
   )
)</f>
        <v>Downside Pressure</v>
      </c>
      <c r="G26" t="str">
        <f>IF(RawData!J26="","",
   IF(RawData!J26&lt;0,"Sell Into Close","Buy Into Close")
)</f>
        <v>Sell Into Close</v>
      </c>
      <c r="H26" t="e">
        <f>IF(RawData!E26="","",
   IF(ABS(RawData!E26 - RawData!D26)/RawData!D26 &lt; 0.02,"Near Call Wall","")
)</f>
        <v>#DIV/0!</v>
      </c>
      <c r="I26" t="e">
        <f>IF(RawData!F26="","",
   IF(ABS(RawData!F26 - RawData!D26)/RawData!D26 &lt; 0.02,"Near Put Wall","")
)</f>
        <v>#DIV/0!</v>
      </c>
      <c r="J26" t="str">
        <f>IF(RawData!G26="","",
   IF(RawData!G26 &lt; RawData!D26,"Below Flip","Above Flip")
)</f>
        <v>Above Flip</v>
      </c>
      <c r="K26" t="e">
        <f>IF(RawData!H26="","",
   (IF(LE[[#This Row],[GammaRegime]]="Long Gamma",10,0)) +
   (IF(RawData!K26&lt;0,10,0)) +
   (IF(AND(RawData!I26&lt;0,RawData!O26&gt;50),10,0)) +
   (IF(AND(RawData!I26&gt;0,RawData!O26&lt;50),10,0)) +
   (IF(ABS(RawData!E26 - RawData!D26)/RawData!D26 &lt; 0.02,5,0)) +
   (IF(RawData!G26&gt;RawData!D26,5,0)) +
   LE[[#This Row],[TierWeight]]
)</f>
        <v>#DIV/0!</v>
      </c>
      <c r="L26" t="e">
        <f>IF(RawData!H26="","",
   (IF(LE[[#This Row],[GammaRegime]]="Short Gamma",10,0)) +
   (IF(RawData!K26&gt;0,10,0)) +
   (IF(AND(RawData!I26&gt;0,RawData!O26&gt;50),10,0)) +
   (IF(AND(RawData!I26&lt;0,RawData!O26&lt;50),10,0)) +
   (IF(ABS(RawData!F26 - RawData!D26)/RawData!D26 &lt; 0.02,5,0)) +
   (IF(RawData!G26&lt;RawData!D26,5,0)) +
   LE[[#This Row],[TierWeight]]
)</f>
        <v>#DIV/0!</v>
      </c>
      <c r="M26" t="e">
        <f>IF(LE[[#This Row],[BullScore]]&gt;LE[[#This Row],[BearScore]],"Call",
   IF(LE[[#This Row],[BearScore]]&gt;LE[[#This Row],[BullScore]],"Put","Avoid")
)</f>
        <v>#DIV/0!</v>
      </c>
      <c r="N26" t="e">
        <f>MAX(LE[[#This Row],[BullScore]],LE[[#This Row],[BearScore]])</f>
        <v>#DIV/0!</v>
      </c>
      <c r="O2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7" spans="1:15" x14ac:dyDescent="0.25">
      <c r="A27" t="str">
        <f>RawData!A27</f>
        <v>ADBE</v>
      </c>
      <c r="B27">
        <f>RawData!B27</f>
        <v>1</v>
      </c>
      <c r="C27">
        <f t="shared" si="0"/>
        <v>10</v>
      </c>
      <c r="D27" t="str">
        <f>IF(RawData!H27="","",
   IF(RawData!H27&gt;0,"Long Gamma","Short Gamma")
)</f>
        <v>Short Gamma</v>
      </c>
      <c r="E27" t="str">
        <f>IF(RawData!K27="","",
   IF(RawData!K27&gt;0,"Dealers Long (Sell Rips)","Dealers Short (Buy Rips)")
)</f>
        <v/>
      </c>
      <c r="F27" t="str">
        <f>IF(OR(RawData!I27="",RawData!O27=""),"",
   IF(RawData!I27&gt;0,
      IF(RawData!O27&gt;50,"Downside Pressure","Upside Drift"),
      IF(RawData!O27&gt;50,"Upside Pressure","Downside Drift")
   )
)</f>
        <v>Downside Pressure</v>
      </c>
      <c r="G27" t="str">
        <f>IF(RawData!J27="","",
   IF(RawData!J27&lt;0,"Sell Into Close","Buy Into Close")
)</f>
        <v>Sell Into Close</v>
      </c>
      <c r="H27" t="e">
        <f>IF(RawData!E27="","",
   IF(ABS(RawData!E27 - RawData!D27)/RawData!D27 &lt; 0.02,"Near Call Wall","")
)</f>
        <v>#DIV/0!</v>
      </c>
      <c r="I27" t="e">
        <f>IF(RawData!F27="","",
   IF(ABS(RawData!F27 - RawData!D27)/RawData!D27 &lt; 0.02,"Near Put Wall","")
)</f>
        <v>#DIV/0!</v>
      </c>
      <c r="J27" t="str">
        <f>IF(RawData!G27="","",
   IF(RawData!G27 &lt; RawData!D27,"Below Flip","Above Flip")
)</f>
        <v>Above Flip</v>
      </c>
      <c r="K27" t="e">
        <f>IF(RawData!H27="","",
   (IF(LE[[#This Row],[GammaRegime]]="Long Gamma",10,0)) +
   (IF(RawData!K27&lt;0,10,0)) +
   (IF(AND(RawData!I27&lt;0,RawData!O27&gt;50),10,0)) +
   (IF(AND(RawData!I27&gt;0,RawData!O27&lt;50),10,0)) +
   (IF(ABS(RawData!E27 - RawData!D27)/RawData!D27 &lt; 0.02,5,0)) +
   (IF(RawData!G27&gt;RawData!D27,5,0)) +
   LE[[#This Row],[TierWeight]]
)</f>
        <v>#DIV/0!</v>
      </c>
      <c r="L27" t="e">
        <f>IF(RawData!H27="","",
   (IF(LE[[#This Row],[GammaRegime]]="Short Gamma",10,0)) +
   (IF(RawData!K27&gt;0,10,0)) +
   (IF(AND(RawData!I27&gt;0,RawData!O27&gt;50),10,0)) +
   (IF(AND(RawData!I27&lt;0,RawData!O27&lt;50),10,0)) +
   (IF(ABS(RawData!F27 - RawData!D27)/RawData!D27 &lt; 0.02,5,0)) +
   (IF(RawData!G27&lt;RawData!D27,5,0)) +
   LE[[#This Row],[TierWeight]]
)</f>
        <v>#DIV/0!</v>
      </c>
      <c r="M27" t="e">
        <f>IF(LE[[#This Row],[BullScore]]&gt;LE[[#This Row],[BearScore]],"Call",
   IF(LE[[#This Row],[BearScore]]&gt;LE[[#This Row],[BullScore]],"Put","Avoid")
)</f>
        <v>#DIV/0!</v>
      </c>
      <c r="N27" t="e">
        <f>MAX(LE[[#This Row],[BullScore]],LE[[#This Row],[BearScore]])</f>
        <v>#DIV/0!</v>
      </c>
      <c r="O2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8" spans="1:15" x14ac:dyDescent="0.25">
      <c r="A28" t="str">
        <f>RawData!A28</f>
        <v>AAOI</v>
      </c>
      <c r="B28">
        <f>RawData!B28</f>
        <v>3</v>
      </c>
      <c r="C28">
        <f t="shared" si="0"/>
        <v>0</v>
      </c>
      <c r="D28" t="str">
        <f>IF(RawData!H28="","",
   IF(RawData!H28&gt;0,"Long Gamma","Short Gamma")
)</f>
        <v>Long Gamma</v>
      </c>
      <c r="E28" t="str">
        <f>IF(RawData!K28="","",
   IF(RawData!K28&gt;0,"Dealers Long (Sell Rips)","Dealers Short (Buy Rips)")
)</f>
        <v/>
      </c>
      <c r="F28" t="str">
        <f>IF(OR(RawData!I28="",RawData!O28=""),"",
   IF(RawData!I28&gt;0,
      IF(RawData!O28&gt;50,"Downside Pressure","Upside Drift"),
      IF(RawData!O28&gt;50,"Upside Pressure","Downside Drift")
   )
)</f>
        <v>Downside Pressure</v>
      </c>
      <c r="G28" t="str">
        <f>IF(RawData!J28="","",
   IF(RawData!J28&lt;0,"Sell Into Close","Buy Into Close")
)</f>
        <v>Sell Into Close</v>
      </c>
      <c r="H28" t="e">
        <f>IF(RawData!E28="","",
   IF(ABS(RawData!E28 - RawData!D28)/RawData!D28 &lt; 0.02,"Near Call Wall","")
)</f>
        <v>#DIV/0!</v>
      </c>
      <c r="I28" t="e">
        <f>IF(RawData!F28="","",
   IF(ABS(RawData!F28 - RawData!D28)/RawData!D28 &lt; 0.02,"Near Put Wall","")
)</f>
        <v>#DIV/0!</v>
      </c>
      <c r="J28" t="str">
        <f>IF(RawData!G28="","",
   IF(RawData!G28 &lt; RawData!D28,"Below Flip","Above Flip")
)</f>
        <v>Above Flip</v>
      </c>
      <c r="K28" t="e">
        <f>IF(RawData!H28="","",
   (IF(LE[[#This Row],[GammaRegime]]="Long Gamma",10,0)) +
   (IF(RawData!K28&lt;0,10,0)) +
   (IF(AND(RawData!I28&lt;0,RawData!O28&gt;50),10,0)) +
   (IF(AND(RawData!I28&gt;0,RawData!O28&lt;50),10,0)) +
   (IF(ABS(RawData!E28 - RawData!D28)/RawData!D28 &lt; 0.02,5,0)) +
   (IF(RawData!G28&gt;RawData!D28,5,0)) +
   LE[[#This Row],[TierWeight]]
)</f>
        <v>#DIV/0!</v>
      </c>
      <c r="L28" t="e">
        <f>IF(RawData!H28="","",
   (IF(LE[[#This Row],[GammaRegime]]="Short Gamma",10,0)) +
   (IF(RawData!K28&gt;0,10,0)) +
   (IF(AND(RawData!I28&gt;0,RawData!O28&gt;50),10,0)) +
   (IF(AND(RawData!I28&lt;0,RawData!O28&lt;50),10,0)) +
   (IF(ABS(RawData!F28 - RawData!D28)/RawData!D28 &lt; 0.02,5,0)) +
   (IF(RawData!G28&lt;RawData!D28,5,0)) +
   LE[[#This Row],[TierWeight]]
)</f>
        <v>#DIV/0!</v>
      </c>
      <c r="M28" t="e">
        <f>IF(LE[[#This Row],[BullScore]]&gt;LE[[#This Row],[BearScore]],"Call",
   IF(LE[[#This Row],[BearScore]]&gt;LE[[#This Row],[BullScore]],"Put","Avoid")
)</f>
        <v>#DIV/0!</v>
      </c>
      <c r="N28" t="e">
        <f>MAX(LE[[#This Row],[BullScore]],LE[[#This Row],[BearScore]])</f>
        <v>#DIV/0!</v>
      </c>
      <c r="O2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29" spans="1:15" x14ac:dyDescent="0.25">
      <c r="A29" t="str">
        <f>RawData!A29</f>
        <v>QCOM</v>
      </c>
      <c r="B29">
        <f>RawData!B29</f>
        <v>1</v>
      </c>
      <c r="C29">
        <f t="shared" si="0"/>
        <v>10</v>
      </c>
      <c r="D29" t="str">
        <f>IF(RawData!H29="","",
   IF(RawData!H29&gt;0,"Long Gamma","Short Gamma")
)</f>
        <v>Short Gamma</v>
      </c>
      <c r="E29" t="str">
        <f>IF(RawData!K29="","",
   IF(RawData!K29&gt;0,"Dealers Long (Sell Rips)","Dealers Short (Buy Rips)")
)</f>
        <v/>
      </c>
      <c r="F29" t="str">
        <f>IF(OR(RawData!I29="",RawData!O29=""),"",
   IF(RawData!I29&gt;0,
      IF(RawData!O29&gt;50,"Downside Pressure","Upside Drift"),
      IF(RawData!O29&gt;50,"Upside Pressure","Downside Drift")
   )
)</f>
        <v>Upside Pressure</v>
      </c>
      <c r="G29" t="str">
        <f>IF(RawData!J29="","",
   IF(RawData!J29&lt;0,"Sell Into Close","Buy Into Close")
)</f>
        <v>Buy Into Close</v>
      </c>
      <c r="H29" t="e">
        <f>IF(RawData!E29="","",
   IF(ABS(RawData!E29 - RawData!D29)/RawData!D29 &lt; 0.02,"Near Call Wall","")
)</f>
        <v>#DIV/0!</v>
      </c>
      <c r="I29" t="e">
        <f>IF(RawData!F29="","",
   IF(ABS(RawData!F29 - RawData!D29)/RawData!D29 &lt; 0.02,"Near Put Wall","")
)</f>
        <v>#DIV/0!</v>
      </c>
      <c r="J29" t="str">
        <f>IF(RawData!G29="","",
   IF(RawData!G29 &lt; RawData!D29,"Below Flip","Above Flip")
)</f>
        <v>Above Flip</v>
      </c>
      <c r="K29" t="e">
        <f>IF(RawData!H29="","",
   (IF(LE[[#This Row],[GammaRegime]]="Long Gamma",10,0)) +
   (IF(RawData!K29&lt;0,10,0)) +
   (IF(AND(RawData!I29&lt;0,RawData!O29&gt;50),10,0)) +
   (IF(AND(RawData!I29&gt;0,RawData!O29&lt;50),10,0)) +
   (IF(ABS(RawData!E29 - RawData!D29)/RawData!D29 &lt; 0.02,5,0)) +
   (IF(RawData!G29&gt;RawData!D29,5,0)) +
   LE[[#This Row],[TierWeight]]
)</f>
        <v>#DIV/0!</v>
      </c>
      <c r="L29" t="e">
        <f>IF(RawData!H29="","",
   (IF(LE[[#This Row],[GammaRegime]]="Short Gamma",10,0)) +
   (IF(RawData!K29&gt;0,10,0)) +
   (IF(AND(RawData!I29&gt;0,RawData!O29&gt;50),10,0)) +
   (IF(AND(RawData!I29&lt;0,RawData!O29&lt;50),10,0)) +
   (IF(ABS(RawData!F29 - RawData!D29)/RawData!D29 &lt; 0.02,5,0)) +
   (IF(RawData!G29&lt;RawData!D29,5,0)) +
   LE[[#This Row],[TierWeight]]
)</f>
        <v>#DIV/0!</v>
      </c>
      <c r="M29" t="e">
        <f>IF(LE[[#This Row],[BullScore]]&gt;LE[[#This Row],[BearScore]],"Call",
   IF(LE[[#This Row],[BearScore]]&gt;LE[[#This Row],[BullScore]],"Put","Avoid")
)</f>
        <v>#DIV/0!</v>
      </c>
      <c r="N29" t="e">
        <f>MAX(LE[[#This Row],[BullScore]],LE[[#This Row],[BearScore]])</f>
        <v>#DIV/0!</v>
      </c>
      <c r="O2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0" spans="1:15" x14ac:dyDescent="0.25">
      <c r="A30" t="str">
        <f>RawData!A30</f>
        <v>MU</v>
      </c>
      <c r="B30">
        <f>RawData!B30</f>
        <v>1</v>
      </c>
      <c r="C30">
        <f t="shared" si="0"/>
        <v>10</v>
      </c>
      <c r="D30" t="str">
        <f>IF(RawData!H30="","",
   IF(RawData!H30&gt;0,"Long Gamma","Short Gamma")
)</f>
        <v>Short Gamma</v>
      </c>
      <c r="E30" t="str">
        <f>IF(RawData!K30="","",
   IF(RawData!K30&gt;0,"Dealers Long (Sell Rips)","Dealers Short (Buy Rips)")
)</f>
        <v/>
      </c>
      <c r="F30" t="str">
        <f>IF(OR(RawData!I30="",RawData!O30=""),"",
   IF(RawData!I30&gt;0,
      IF(RawData!O30&gt;50,"Downside Pressure","Upside Drift"),
      IF(RawData!O30&gt;50,"Upside Pressure","Downside Drift")
   )
)</f>
        <v>Downside Pressure</v>
      </c>
      <c r="G30" t="str">
        <f>IF(RawData!J30="","",
   IF(RawData!J30&lt;0,"Sell Into Close","Buy Into Close")
)</f>
        <v>Sell Into Close</v>
      </c>
      <c r="H30" t="e">
        <f>IF(RawData!E30="","",
   IF(ABS(RawData!E30 - RawData!D30)/RawData!D30 &lt; 0.02,"Near Call Wall","")
)</f>
        <v>#DIV/0!</v>
      </c>
      <c r="I30" t="e">
        <f>IF(RawData!F30="","",
   IF(ABS(RawData!F30 - RawData!D30)/RawData!D30 &lt; 0.02,"Near Put Wall","")
)</f>
        <v>#DIV/0!</v>
      </c>
      <c r="J30" t="str">
        <f>IF(RawData!G30="","",
   IF(RawData!G30 &lt; RawData!D30,"Below Flip","Above Flip")
)</f>
        <v>Above Flip</v>
      </c>
      <c r="K30" t="e">
        <f>IF(RawData!H30="","",
   (IF(LE[[#This Row],[GammaRegime]]="Long Gamma",10,0)) +
   (IF(RawData!K30&lt;0,10,0)) +
   (IF(AND(RawData!I30&lt;0,RawData!O30&gt;50),10,0)) +
   (IF(AND(RawData!I30&gt;0,RawData!O30&lt;50),10,0)) +
   (IF(ABS(RawData!E30 - RawData!D30)/RawData!D30 &lt; 0.02,5,0)) +
   (IF(RawData!G30&gt;RawData!D30,5,0)) +
   LE[[#This Row],[TierWeight]]
)</f>
        <v>#DIV/0!</v>
      </c>
      <c r="L30" t="e">
        <f>IF(RawData!H30="","",
   (IF(LE[[#This Row],[GammaRegime]]="Short Gamma",10,0)) +
   (IF(RawData!K30&gt;0,10,0)) +
   (IF(AND(RawData!I30&gt;0,RawData!O30&gt;50),10,0)) +
   (IF(AND(RawData!I30&lt;0,RawData!O30&lt;50),10,0)) +
   (IF(ABS(RawData!F30 - RawData!D30)/RawData!D30 &lt; 0.02,5,0)) +
   (IF(RawData!G30&lt;RawData!D30,5,0)) +
   LE[[#This Row],[TierWeight]]
)</f>
        <v>#DIV/0!</v>
      </c>
      <c r="M30" t="e">
        <f>IF(LE[[#This Row],[BullScore]]&gt;LE[[#This Row],[BearScore]],"Call",
   IF(LE[[#This Row],[BearScore]]&gt;LE[[#This Row],[BullScore]],"Put","Avoid")
)</f>
        <v>#DIV/0!</v>
      </c>
      <c r="N30" t="e">
        <f>MAX(LE[[#This Row],[BullScore]],LE[[#This Row],[BearScore]])</f>
        <v>#DIV/0!</v>
      </c>
      <c r="O3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1" spans="1:15" x14ac:dyDescent="0.25">
      <c r="A31" t="str">
        <f>RawData!A31</f>
        <v>TSM</v>
      </c>
      <c r="B31">
        <f>RawData!B31</f>
        <v>1</v>
      </c>
      <c r="C31">
        <f t="shared" si="0"/>
        <v>10</v>
      </c>
      <c r="D31" t="str">
        <f>IF(RawData!H31="","",
   IF(RawData!H31&gt;0,"Long Gamma","Short Gamma")
)</f>
        <v>Long Gamma</v>
      </c>
      <c r="E31" t="str">
        <f>IF(RawData!K31="","",
   IF(RawData!K31&gt;0,"Dealers Long (Sell Rips)","Dealers Short (Buy Rips)")
)</f>
        <v/>
      </c>
      <c r="F31" t="str">
        <f>IF(OR(RawData!I31="",RawData!O31=""),"",
   IF(RawData!I31&gt;0,
      IF(RawData!O31&gt;50,"Downside Pressure","Upside Drift"),
      IF(RawData!O31&gt;50,"Upside Pressure","Downside Drift")
   )
)</f>
        <v>Downside Pressure</v>
      </c>
      <c r="G31" t="str">
        <f>IF(RawData!J31="","",
   IF(RawData!J31&lt;0,"Sell Into Close","Buy Into Close")
)</f>
        <v>Sell Into Close</v>
      </c>
      <c r="H31" t="e">
        <f>IF(RawData!E31="","",
   IF(ABS(RawData!E31 - RawData!D31)/RawData!D31 &lt; 0.02,"Near Call Wall","")
)</f>
        <v>#DIV/0!</v>
      </c>
      <c r="I31" t="e">
        <f>IF(RawData!F31="","",
   IF(ABS(RawData!F31 - RawData!D31)/RawData!D31 &lt; 0.02,"Near Put Wall","")
)</f>
        <v>#DIV/0!</v>
      </c>
      <c r="J31" t="str">
        <f>IF(RawData!G31="","",
   IF(RawData!G31 &lt; RawData!D31,"Below Flip","Above Flip")
)</f>
        <v>Above Flip</v>
      </c>
      <c r="K31" t="e">
        <f>IF(RawData!H31="","",
   (IF(LE[[#This Row],[GammaRegime]]="Long Gamma",10,0)) +
   (IF(RawData!K31&lt;0,10,0)) +
   (IF(AND(RawData!I31&lt;0,RawData!O31&gt;50),10,0)) +
   (IF(AND(RawData!I31&gt;0,RawData!O31&lt;50),10,0)) +
   (IF(ABS(RawData!E31 - RawData!D31)/RawData!D31 &lt; 0.02,5,0)) +
   (IF(RawData!G31&gt;RawData!D31,5,0)) +
   LE[[#This Row],[TierWeight]]
)</f>
        <v>#DIV/0!</v>
      </c>
      <c r="L31" t="e">
        <f>IF(RawData!H31="","",
   (IF(LE[[#This Row],[GammaRegime]]="Short Gamma",10,0)) +
   (IF(RawData!K31&gt;0,10,0)) +
   (IF(AND(RawData!I31&gt;0,RawData!O31&gt;50),10,0)) +
   (IF(AND(RawData!I31&lt;0,RawData!O31&lt;50),10,0)) +
   (IF(ABS(RawData!F31 - RawData!D31)/RawData!D31 &lt; 0.02,5,0)) +
   (IF(RawData!G31&lt;RawData!D31,5,0)) +
   LE[[#This Row],[TierWeight]]
)</f>
        <v>#DIV/0!</v>
      </c>
      <c r="M31" t="e">
        <f>IF(LE[[#This Row],[BullScore]]&gt;LE[[#This Row],[BearScore]],"Call",
   IF(LE[[#This Row],[BearScore]]&gt;LE[[#This Row],[BullScore]],"Put","Avoid")
)</f>
        <v>#DIV/0!</v>
      </c>
      <c r="N31" t="e">
        <f>MAX(LE[[#This Row],[BullScore]],LE[[#This Row],[BearScore]])</f>
        <v>#DIV/0!</v>
      </c>
      <c r="O3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2" spans="1:15" x14ac:dyDescent="0.25">
      <c r="A32" t="str">
        <f>RawData!A32</f>
        <v>AMAT</v>
      </c>
      <c r="B32">
        <f>RawData!B32</f>
        <v>2</v>
      </c>
      <c r="C32">
        <f t="shared" si="0"/>
        <v>5</v>
      </c>
      <c r="D32" t="str">
        <f>IF(RawData!H32="","",
   IF(RawData!H32&gt;0,"Long Gamma","Short Gamma")
)</f>
        <v>Short Gamma</v>
      </c>
      <c r="E32" t="str">
        <f>IF(RawData!K32="","",
   IF(RawData!K32&gt;0,"Dealers Long (Sell Rips)","Dealers Short (Buy Rips)")
)</f>
        <v/>
      </c>
      <c r="F32" t="str">
        <f>IF(OR(RawData!I32="",RawData!O32=""),"",
   IF(RawData!I32&gt;0,
      IF(RawData!O32&gt;50,"Downside Pressure","Upside Drift"),
      IF(RawData!O32&gt;50,"Upside Pressure","Downside Drift")
   )
)</f>
        <v>Downside Pressure</v>
      </c>
      <c r="G32" t="str">
        <f>IF(RawData!J32="","",
   IF(RawData!J32&lt;0,"Sell Into Close","Buy Into Close")
)</f>
        <v>Sell Into Close</v>
      </c>
      <c r="H32" t="e">
        <f>IF(RawData!E32="","",
   IF(ABS(RawData!E32 - RawData!D32)/RawData!D32 &lt; 0.02,"Near Call Wall","")
)</f>
        <v>#DIV/0!</v>
      </c>
      <c r="I32" t="e">
        <f>IF(RawData!F32="","",
   IF(ABS(RawData!F32 - RawData!D32)/RawData!D32 &lt; 0.02,"Near Put Wall","")
)</f>
        <v>#DIV/0!</v>
      </c>
      <c r="J32" t="str">
        <f>IF(RawData!G32="","",
   IF(RawData!G32 &lt; RawData!D32,"Below Flip","Above Flip")
)</f>
        <v>Above Flip</v>
      </c>
      <c r="K32" t="e">
        <f>IF(RawData!H32="","",
   (IF(LE[[#This Row],[GammaRegime]]="Long Gamma",10,0)) +
   (IF(RawData!K32&lt;0,10,0)) +
   (IF(AND(RawData!I32&lt;0,RawData!O32&gt;50),10,0)) +
   (IF(AND(RawData!I32&gt;0,RawData!O32&lt;50),10,0)) +
   (IF(ABS(RawData!E32 - RawData!D32)/RawData!D32 &lt; 0.02,5,0)) +
   (IF(RawData!G32&gt;RawData!D32,5,0)) +
   LE[[#This Row],[TierWeight]]
)</f>
        <v>#DIV/0!</v>
      </c>
      <c r="L32" t="e">
        <f>IF(RawData!H32="","",
   (IF(LE[[#This Row],[GammaRegime]]="Short Gamma",10,0)) +
   (IF(RawData!K32&gt;0,10,0)) +
   (IF(AND(RawData!I32&gt;0,RawData!O32&gt;50),10,0)) +
   (IF(AND(RawData!I32&lt;0,RawData!O32&lt;50),10,0)) +
   (IF(ABS(RawData!F32 - RawData!D32)/RawData!D32 &lt; 0.02,5,0)) +
   (IF(RawData!G32&lt;RawData!D32,5,0)) +
   LE[[#This Row],[TierWeight]]
)</f>
        <v>#DIV/0!</v>
      </c>
      <c r="M32" t="e">
        <f>IF(LE[[#This Row],[BullScore]]&gt;LE[[#This Row],[BearScore]],"Call",
   IF(LE[[#This Row],[BearScore]]&gt;LE[[#This Row],[BullScore]],"Put","Avoid")
)</f>
        <v>#DIV/0!</v>
      </c>
      <c r="N32" t="e">
        <f>MAX(LE[[#This Row],[BullScore]],LE[[#This Row],[BearScore]])</f>
        <v>#DIV/0!</v>
      </c>
      <c r="O3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3" spans="1:15" x14ac:dyDescent="0.25">
      <c r="A33" t="str">
        <f>RawData!A33</f>
        <v>AMD</v>
      </c>
      <c r="B33">
        <f>RawData!B33</f>
        <v>1</v>
      </c>
      <c r="C33">
        <f t="shared" si="0"/>
        <v>10</v>
      </c>
      <c r="D33" t="str">
        <f>IF(RawData!H33="","",
   IF(RawData!H33&gt;0,"Long Gamma","Short Gamma")
)</f>
        <v>Short Gamma</v>
      </c>
      <c r="E33" t="str">
        <f>IF(RawData!K33="","",
   IF(RawData!K33&gt;0,"Dealers Long (Sell Rips)","Dealers Short (Buy Rips)")
)</f>
        <v/>
      </c>
      <c r="F33" t="str">
        <f>IF(OR(RawData!I33="",RawData!O33=""),"",
   IF(RawData!I33&gt;0,
      IF(RawData!O33&gt;50,"Downside Pressure","Upside Drift"),
      IF(RawData!O33&gt;50,"Upside Pressure","Downside Drift")
   )
)</f>
        <v>Upside Pressure</v>
      </c>
      <c r="G33" t="str">
        <f>IF(RawData!J33="","",
   IF(RawData!J33&lt;0,"Sell Into Close","Buy Into Close")
)</f>
        <v>Buy Into Close</v>
      </c>
      <c r="H33" t="e">
        <f>IF(RawData!E33="","",
   IF(ABS(RawData!E33 - RawData!D33)/RawData!D33 &lt; 0.02,"Near Call Wall","")
)</f>
        <v>#DIV/0!</v>
      </c>
      <c r="I33" t="e">
        <f>IF(RawData!F33="","",
   IF(ABS(RawData!F33 - RawData!D33)/RawData!D33 &lt; 0.02,"Near Put Wall","")
)</f>
        <v>#DIV/0!</v>
      </c>
      <c r="J33" t="str">
        <f>IF(RawData!G33="","",
   IF(RawData!G33 &lt; RawData!D33,"Below Flip","Above Flip")
)</f>
        <v>Above Flip</v>
      </c>
      <c r="K33" t="e">
        <f>IF(RawData!H33="","",
   (IF(LE[[#This Row],[GammaRegime]]="Long Gamma",10,0)) +
   (IF(RawData!K33&lt;0,10,0)) +
   (IF(AND(RawData!I33&lt;0,RawData!O33&gt;50),10,0)) +
   (IF(AND(RawData!I33&gt;0,RawData!O33&lt;50),10,0)) +
   (IF(ABS(RawData!E33 - RawData!D33)/RawData!D33 &lt; 0.02,5,0)) +
   (IF(RawData!G33&gt;RawData!D33,5,0)) +
   LE[[#This Row],[TierWeight]]
)</f>
        <v>#DIV/0!</v>
      </c>
      <c r="L33" t="e">
        <f>IF(RawData!H33="","",
   (IF(LE[[#This Row],[GammaRegime]]="Short Gamma",10,0)) +
   (IF(RawData!K33&gt;0,10,0)) +
   (IF(AND(RawData!I33&gt;0,RawData!O33&gt;50),10,0)) +
   (IF(AND(RawData!I33&lt;0,RawData!O33&lt;50),10,0)) +
   (IF(ABS(RawData!F33 - RawData!D33)/RawData!D33 &lt; 0.02,5,0)) +
   (IF(RawData!G33&lt;RawData!D33,5,0)) +
   LE[[#This Row],[TierWeight]]
)</f>
        <v>#DIV/0!</v>
      </c>
      <c r="M33" t="e">
        <f>IF(LE[[#This Row],[BullScore]]&gt;LE[[#This Row],[BearScore]],"Call",
   IF(LE[[#This Row],[BearScore]]&gt;LE[[#This Row],[BullScore]],"Put","Avoid")
)</f>
        <v>#DIV/0!</v>
      </c>
      <c r="N33" t="e">
        <f>MAX(LE[[#This Row],[BullScore]],LE[[#This Row],[BearScore]])</f>
        <v>#DIV/0!</v>
      </c>
      <c r="O3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4" spans="1:15" x14ac:dyDescent="0.25">
      <c r="A34" t="str">
        <f>RawData!A34</f>
        <v>INTC</v>
      </c>
      <c r="B34">
        <f>RawData!B34</f>
        <v>2</v>
      </c>
      <c r="C34">
        <f t="shared" ref="C34:C63" si="1">IF(B34=1,10,IF(B34=2,5,0))</f>
        <v>5</v>
      </c>
      <c r="D34" t="str">
        <f>IF(RawData!H34="","",
   IF(RawData!H34&gt;0,"Long Gamma","Short Gamma")
)</f>
        <v>Long Gamma</v>
      </c>
      <c r="E34" t="str">
        <f>IF(RawData!K34="","",
   IF(RawData!K34&gt;0,"Dealers Long (Sell Rips)","Dealers Short (Buy Rips)")
)</f>
        <v/>
      </c>
      <c r="F34" t="str">
        <f>IF(OR(RawData!I34="",RawData!O34=""),"",
   IF(RawData!I34&gt;0,
      IF(RawData!O34&gt;50,"Downside Pressure","Upside Drift"),
      IF(RawData!O34&gt;50,"Upside Pressure","Downside Drift")
   )
)</f>
        <v>Downside Pressure</v>
      </c>
      <c r="G34" t="str">
        <f>IF(RawData!J34="","",
   IF(RawData!J34&lt;0,"Sell Into Close","Buy Into Close")
)</f>
        <v>Sell Into Close</v>
      </c>
      <c r="H34" t="e">
        <f>IF(RawData!E34="","",
   IF(ABS(RawData!E34 - RawData!D34)/RawData!D34 &lt; 0.02,"Near Call Wall","")
)</f>
        <v>#DIV/0!</v>
      </c>
      <c r="I34" t="e">
        <f>IF(RawData!F34="","",
   IF(ABS(RawData!F34 - RawData!D34)/RawData!D34 &lt; 0.02,"Near Put Wall","")
)</f>
        <v>#DIV/0!</v>
      </c>
      <c r="J34" t="str">
        <f>IF(RawData!G34="","",
   IF(RawData!G34 &lt; RawData!D34,"Below Flip","Above Flip")
)</f>
        <v>Above Flip</v>
      </c>
      <c r="K34" t="e">
        <f>IF(RawData!H34="","",
   (IF(LE[[#This Row],[GammaRegime]]="Long Gamma",10,0)) +
   (IF(RawData!K34&lt;0,10,0)) +
   (IF(AND(RawData!I34&lt;0,RawData!O34&gt;50),10,0)) +
   (IF(AND(RawData!I34&gt;0,RawData!O34&lt;50),10,0)) +
   (IF(ABS(RawData!E34 - RawData!D34)/RawData!D34 &lt; 0.02,5,0)) +
   (IF(RawData!G34&gt;RawData!D34,5,0)) +
   LE[[#This Row],[TierWeight]]
)</f>
        <v>#DIV/0!</v>
      </c>
      <c r="L34" t="e">
        <f>IF(RawData!H34="","",
   (IF(LE[[#This Row],[GammaRegime]]="Short Gamma",10,0)) +
   (IF(RawData!K34&gt;0,10,0)) +
   (IF(AND(RawData!I34&gt;0,RawData!O34&gt;50),10,0)) +
   (IF(AND(RawData!I34&lt;0,RawData!O34&lt;50),10,0)) +
   (IF(ABS(RawData!F34 - RawData!D34)/RawData!D34 &lt; 0.02,5,0)) +
   (IF(RawData!G34&lt;RawData!D34,5,0)) +
   LE[[#This Row],[TierWeight]]
)</f>
        <v>#DIV/0!</v>
      </c>
      <c r="M34" t="e">
        <f>IF(LE[[#This Row],[BullScore]]&gt;LE[[#This Row],[BearScore]],"Call",
   IF(LE[[#This Row],[BearScore]]&gt;LE[[#This Row],[BullScore]],"Put","Avoid")
)</f>
        <v>#DIV/0!</v>
      </c>
      <c r="N34" t="e">
        <f>MAX(LE[[#This Row],[BullScore]],LE[[#This Row],[BearScore]])</f>
        <v>#DIV/0!</v>
      </c>
      <c r="O3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5" spans="1:15" x14ac:dyDescent="0.25">
      <c r="A35" t="str">
        <f>RawData!A35</f>
        <v>SMCI</v>
      </c>
      <c r="B35">
        <f>RawData!B35</f>
        <v>2</v>
      </c>
      <c r="C35">
        <f t="shared" si="1"/>
        <v>5</v>
      </c>
      <c r="D35" t="str">
        <f>IF(RawData!H35="","",
   IF(RawData!H35&gt;0,"Long Gamma","Short Gamma")
)</f>
        <v>Long Gamma</v>
      </c>
      <c r="E35" t="str">
        <f>IF(RawData!K35="","",
   IF(RawData!K35&gt;0,"Dealers Long (Sell Rips)","Dealers Short (Buy Rips)")
)</f>
        <v/>
      </c>
      <c r="F35" t="str">
        <f>IF(OR(RawData!I35="",RawData!O35=""),"",
   IF(RawData!I35&gt;0,
      IF(RawData!O35&gt;50,"Downside Pressure","Upside Drift"),
      IF(RawData!O35&gt;50,"Upside Pressure","Downside Drift")
   )
)</f>
        <v>Upside Drift</v>
      </c>
      <c r="G35" t="str">
        <f>IF(RawData!J35="","",
   IF(RawData!J35&lt;0,"Sell Into Close","Buy Into Close")
)</f>
        <v>Buy Into Close</v>
      </c>
      <c r="H35" t="e">
        <f>IF(RawData!E35="","",
   IF(ABS(RawData!E35 - RawData!D35)/RawData!D35 &lt; 0.02,"Near Call Wall","")
)</f>
        <v>#DIV/0!</v>
      </c>
      <c r="I35" t="e">
        <f>IF(RawData!F35="","",
   IF(ABS(RawData!F35 - RawData!D35)/RawData!D35 &lt; 0.02,"Near Put Wall","")
)</f>
        <v>#DIV/0!</v>
      </c>
      <c r="J35" t="str">
        <f>IF(RawData!G35="","",
   IF(RawData!G35 &lt; RawData!D35,"Below Flip","Above Flip")
)</f>
        <v>Above Flip</v>
      </c>
      <c r="K35" t="e">
        <f>IF(RawData!H35="","",
   (IF(LE[[#This Row],[GammaRegime]]="Long Gamma",10,0)) +
   (IF(RawData!K35&lt;0,10,0)) +
   (IF(AND(RawData!I35&lt;0,RawData!O35&gt;50),10,0)) +
   (IF(AND(RawData!I35&gt;0,RawData!O35&lt;50),10,0)) +
   (IF(ABS(RawData!E35 - RawData!D35)/RawData!D35 &lt; 0.02,5,0)) +
   (IF(RawData!G35&gt;RawData!D35,5,0)) +
   LE[[#This Row],[TierWeight]]
)</f>
        <v>#DIV/0!</v>
      </c>
      <c r="L35" t="e">
        <f>IF(RawData!H35="","",
   (IF(LE[[#This Row],[GammaRegime]]="Short Gamma",10,0)) +
   (IF(RawData!K35&gt;0,10,0)) +
   (IF(AND(RawData!I35&gt;0,RawData!O35&gt;50),10,0)) +
   (IF(AND(RawData!I35&lt;0,RawData!O35&lt;50),10,0)) +
   (IF(ABS(RawData!F35 - RawData!D35)/RawData!D35 &lt; 0.02,5,0)) +
   (IF(RawData!G35&lt;RawData!D35,5,0)) +
   LE[[#This Row],[TierWeight]]
)</f>
        <v>#DIV/0!</v>
      </c>
      <c r="M35" t="e">
        <f>IF(LE[[#This Row],[BullScore]]&gt;LE[[#This Row],[BearScore]],"Call",
   IF(LE[[#This Row],[BearScore]]&gt;LE[[#This Row],[BullScore]],"Put","Avoid")
)</f>
        <v>#DIV/0!</v>
      </c>
      <c r="N35" t="e">
        <f>MAX(LE[[#This Row],[BullScore]],LE[[#This Row],[BearScore]])</f>
        <v>#DIV/0!</v>
      </c>
      <c r="O3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6" spans="1:15" x14ac:dyDescent="0.25">
      <c r="A36" t="str">
        <f>RawData!A36</f>
        <v>AVGO</v>
      </c>
      <c r="B36">
        <f>RawData!B36</f>
        <v>1</v>
      </c>
      <c r="C36">
        <f t="shared" si="1"/>
        <v>10</v>
      </c>
      <c r="D36" t="str">
        <f>IF(RawData!H36="","",
   IF(RawData!H36&gt;0,"Long Gamma","Short Gamma")
)</f>
        <v>Short Gamma</v>
      </c>
      <c r="E36" t="str">
        <f>IF(RawData!K36="","",
   IF(RawData!K36&gt;0,"Dealers Long (Sell Rips)","Dealers Short (Buy Rips)")
)</f>
        <v/>
      </c>
      <c r="F36" t="str">
        <f>IF(OR(RawData!I36="",RawData!O36=""),"",
   IF(RawData!I36&gt;0,
      IF(RawData!O36&gt;50,"Downside Pressure","Upside Drift"),
      IF(RawData!O36&gt;50,"Upside Pressure","Downside Drift")
   )
)</f>
        <v>Upside Pressure</v>
      </c>
      <c r="G36" t="str">
        <f>IF(RawData!J36="","",
   IF(RawData!J36&lt;0,"Sell Into Close","Buy Into Close")
)</f>
        <v>Buy Into Close</v>
      </c>
      <c r="H36" t="e">
        <f>IF(RawData!E36="","",
   IF(ABS(RawData!E36 - RawData!D36)/RawData!D36 &lt; 0.02,"Near Call Wall","")
)</f>
        <v>#DIV/0!</v>
      </c>
      <c r="I36" t="e">
        <f>IF(RawData!F36="","",
   IF(ABS(RawData!F36 - RawData!D36)/RawData!D36 &lt; 0.02,"Near Put Wall","")
)</f>
        <v>#DIV/0!</v>
      </c>
      <c r="J36" t="str">
        <f>IF(RawData!G36="","",
   IF(RawData!G36 &lt; RawData!D36,"Below Flip","Above Flip")
)</f>
        <v>Above Flip</v>
      </c>
      <c r="K36" t="e">
        <f>IF(RawData!H36="","",
   (IF(LE[[#This Row],[GammaRegime]]="Long Gamma",10,0)) +
   (IF(RawData!K36&lt;0,10,0)) +
   (IF(AND(RawData!I36&lt;0,RawData!O36&gt;50),10,0)) +
   (IF(AND(RawData!I36&gt;0,RawData!O36&lt;50),10,0)) +
   (IF(ABS(RawData!E36 - RawData!D36)/RawData!D36 &lt; 0.02,5,0)) +
   (IF(RawData!G36&gt;RawData!D36,5,0)) +
   LE[[#This Row],[TierWeight]]
)</f>
        <v>#DIV/0!</v>
      </c>
      <c r="L36" t="e">
        <f>IF(RawData!H36="","",
   (IF(LE[[#This Row],[GammaRegime]]="Short Gamma",10,0)) +
   (IF(RawData!K36&gt;0,10,0)) +
   (IF(AND(RawData!I36&gt;0,RawData!O36&gt;50),10,0)) +
   (IF(AND(RawData!I36&lt;0,RawData!O36&lt;50),10,0)) +
   (IF(ABS(RawData!F36 - RawData!D36)/RawData!D36 &lt; 0.02,5,0)) +
   (IF(RawData!G36&lt;RawData!D36,5,0)) +
   LE[[#This Row],[TierWeight]]
)</f>
        <v>#DIV/0!</v>
      </c>
      <c r="M36" t="e">
        <f>IF(LE[[#This Row],[BullScore]]&gt;LE[[#This Row],[BearScore]],"Call",
   IF(LE[[#This Row],[BearScore]]&gt;LE[[#This Row],[BullScore]],"Put","Avoid")
)</f>
        <v>#DIV/0!</v>
      </c>
      <c r="N36" t="e">
        <f>MAX(LE[[#This Row],[BullScore]],LE[[#This Row],[BearScore]])</f>
        <v>#DIV/0!</v>
      </c>
      <c r="O3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7" spans="1:15" x14ac:dyDescent="0.25">
      <c r="A37" t="str">
        <f>RawData!A37</f>
        <v>APLD</v>
      </c>
      <c r="B37">
        <f>RawData!B37</f>
        <v>3</v>
      </c>
      <c r="C37">
        <f t="shared" si="1"/>
        <v>0</v>
      </c>
      <c r="D37" t="str">
        <f>IF(RawData!H37="","",
   IF(RawData!H37&gt;0,"Long Gamma","Short Gamma")
)</f>
        <v>Long Gamma</v>
      </c>
      <c r="E37" t="str">
        <f>IF(RawData!K37="","",
   IF(RawData!K37&gt;0,"Dealers Long (Sell Rips)","Dealers Short (Buy Rips)")
)</f>
        <v/>
      </c>
      <c r="F37" t="str">
        <f>IF(OR(RawData!I37="",RawData!O37=""),"",
   IF(RawData!I37&gt;0,
      IF(RawData!O37&gt;50,"Downside Pressure","Upside Drift"),
      IF(RawData!O37&gt;50,"Upside Pressure","Downside Drift")
   )
)</f>
        <v>Upside Drift</v>
      </c>
      <c r="G37" t="str">
        <f>IF(RawData!J37="","",
   IF(RawData!J37&lt;0,"Sell Into Close","Buy Into Close")
)</f>
        <v>Buy Into Close</v>
      </c>
      <c r="H37" t="e">
        <f>IF(RawData!E37="","",
   IF(ABS(RawData!E37 - RawData!D37)/RawData!D37 &lt; 0.02,"Near Call Wall","")
)</f>
        <v>#DIV/0!</v>
      </c>
      <c r="I37" t="e">
        <f>IF(RawData!F37="","",
   IF(ABS(RawData!F37 - RawData!D37)/RawData!D37 &lt; 0.02,"Near Put Wall","")
)</f>
        <v>#DIV/0!</v>
      </c>
      <c r="J37" t="str">
        <f>IF(RawData!G37="","",
   IF(RawData!G37 &lt; RawData!D37,"Below Flip","Above Flip")
)</f>
        <v>Above Flip</v>
      </c>
      <c r="K37" t="e">
        <f>IF(RawData!H37="","",
   (IF(LE[[#This Row],[GammaRegime]]="Long Gamma",10,0)) +
   (IF(RawData!K37&lt;0,10,0)) +
   (IF(AND(RawData!I37&lt;0,RawData!O37&gt;50),10,0)) +
   (IF(AND(RawData!I37&gt;0,RawData!O37&lt;50),10,0)) +
   (IF(ABS(RawData!E37 - RawData!D37)/RawData!D37 &lt; 0.02,5,0)) +
   (IF(RawData!G37&gt;RawData!D37,5,0)) +
   LE[[#This Row],[TierWeight]]
)</f>
        <v>#DIV/0!</v>
      </c>
      <c r="L37" t="e">
        <f>IF(RawData!H37="","",
   (IF(LE[[#This Row],[GammaRegime]]="Short Gamma",10,0)) +
   (IF(RawData!K37&gt;0,10,0)) +
   (IF(AND(RawData!I37&gt;0,RawData!O37&gt;50),10,0)) +
   (IF(AND(RawData!I37&lt;0,RawData!O37&lt;50),10,0)) +
   (IF(ABS(RawData!F37 - RawData!D37)/RawData!D37 &lt; 0.02,5,0)) +
   (IF(RawData!G37&lt;RawData!D37,5,0)) +
   LE[[#This Row],[TierWeight]]
)</f>
        <v>#DIV/0!</v>
      </c>
      <c r="M37" t="e">
        <f>IF(LE[[#This Row],[BullScore]]&gt;LE[[#This Row],[BearScore]],"Call",
   IF(LE[[#This Row],[BearScore]]&gt;LE[[#This Row],[BullScore]],"Put","Avoid")
)</f>
        <v>#DIV/0!</v>
      </c>
      <c r="N37" t="e">
        <f>MAX(LE[[#This Row],[BullScore]],LE[[#This Row],[BearScore]])</f>
        <v>#DIV/0!</v>
      </c>
      <c r="O3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8" spans="1:15" x14ac:dyDescent="0.25">
      <c r="A38" t="str">
        <f>RawData!A38</f>
        <v>BE</v>
      </c>
      <c r="B38">
        <f>RawData!B38</f>
        <v>3</v>
      </c>
      <c r="C38">
        <f t="shared" si="1"/>
        <v>0</v>
      </c>
      <c r="D38" t="str">
        <f>IF(RawData!H38="","",
   IF(RawData!H38&gt;0,"Long Gamma","Short Gamma")
)</f>
        <v>Short Gamma</v>
      </c>
      <c r="E38" t="str">
        <f>IF(RawData!K38="","",
   IF(RawData!K38&gt;0,"Dealers Long (Sell Rips)","Dealers Short (Buy Rips)")
)</f>
        <v/>
      </c>
      <c r="F38" t="str">
        <f>IF(OR(RawData!I38="",RawData!O38=""),"",
   IF(RawData!I38&gt;0,
      IF(RawData!O38&gt;50,"Downside Pressure","Upside Drift"),
      IF(RawData!O38&gt;50,"Upside Pressure","Downside Drift")
   )
)</f>
        <v>Upside Pressure</v>
      </c>
      <c r="G38" t="str">
        <f>IF(RawData!J38="","",
   IF(RawData!J38&lt;0,"Sell Into Close","Buy Into Close")
)</f>
        <v>Sell Into Close</v>
      </c>
      <c r="H38" t="e">
        <f>IF(RawData!E38="","",
   IF(ABS(RawData!E38 - RawData!D38)/RawData!D38 &lt; 0.02,"Near Call Wall","")
)</f>
        <v>#DIV/0!</v>
      </c>
      <c r="I38" t="e">
        <f>IF(RawData!F38="","",
   IF(ABS(RawData!F38 - RawData!D38)/RawData!D38 &lt; 0.02,"Near Put Wall","")
)</f>
        <v>#DIV/0!</v>
      </c>
      <c r="J38" t="str">
        <f>IF(RawData!G38="","",
   IF(RawData!G38 &lt; RawData!D38,"Below Flip","Above Flip")
)</f>
        <v>Above Flip</v>
      </c>
      <c r="K38" t="e">
        <f>IF(RawData!H38="","",
   (IF(LE[[#This Row],[GammaRegime]]="Long Gamma",10,0)) +
   (IF(RawData!K38&lt;0,10,0)) +
   (IF(AND(RawData!I38&lt;0,RawData!O38&gt;50),10,0)) +
   (IF(AND(RawData!I38&gt;0,RawData!O38&lt;50),10,0)) +
   (IF(ABS(RawData!E38 - RawData!D38)/RawData!D38 &lt; 0.02,5,0)) +
   (IF(RawData!G38&gt;RawData!D38,5,0)) +
   LE[[#This Row],[TierWeight]]
)</f>
        <v>#DIV/0!</v>
      </c>
      <c r="L38" t="e">
        <f>IF(RawData!H38="","",
   (IF(LE[[#This Row],[GammaRegime]]="Short Gamma",10,0)) +
   (IF(RawData!K38&gt;0,10,0)) +
   (IF(AND(RawData!I38&gt;0,RawData!O38&gt;50),10,0)) +
   (IF(AND(RawData!I38&lt;0,RawData!O38&lt;50),10,0)) +
   (IF(ABS(RawData!F38 - RawData!D38)/RawData!D38 &lt; 0.02,5,0)) +
   (IF(RawData!G38&lt;RawData!D38,5,0)) +
   LE[[#This Row],[TierWeight]]
)</f>
        <v>#DIV/0!</v>
      </c>
      <c r="M38" t="e">
        <f>IF(LE[[#This Row],[BullScore]]&gt;LE[[#This Row],[BearScore]],"Call",
   IF(LE[[#This Row],[BearScore]]&gt;LE[[#This Row],[BullScore]],"Put","Avoid")
)</f>
        <v>#DIV/0!</v>
      </c>
      <c r="N38" t="e">
        <f>MAX(LE[[#This Row],[BullScore]],LE[[#This Row],[BearScore]])</f>
        <v>#DIV/0!</v>
      </c>
      <c r="O3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39" spans="1:15" x14ac:dyDescent="0.25">
      <c r="A39" t="str">
        <f>RawData!A39</f>
        <v>XLE</v>
      </c>
      <c r="B39">
        <f>RawData!B39</f>
        <v>1</v>
      </c>
      <c r="C39">
        <f t="shared" si="1"/>
        <v>10</v>
      </c>
      <c r="D39" t="str">
        <f>IF(RawData!H39="","",
   IF(RawData!H39&gt;0,"Long Gamma","Short Gamma")
)</f>
        <v>Short Gamma</v>
      </c>
      <c r="E39" t="str">
        <f>IF(RawData!K39="","",
   IF(RawData!K39&gt;0,"Dealers Long (Sell Rips)","Dealers Short (Buy Rips)")
)</f>
        <v/>
      </c>
      <c r="F39" t="str">
        <f>IF(OR(RawData!I39="",RawData!O39=""),"",
   IF(RawData!I39&gt;0,
      IF(RawData!O39&gt;50,"Downside Pressure","Upside Drift"),
      IF(RawData!O39&gt;50,"Upside Pressure","Downside Drift")
   )
)</f>
        <v>Downside Pressure</v>
      </c>
      <c r="G39" t="str">
        <f>IF(RawData!J39="","",
   IF(RawData!J39&lt;0,"Sell Into Close","Buy Into Close")
)</f>
        <v>Sell Into Close</v>
      </c>
      <c r="H39" t="e">
        <f>IF(RawData!E39="","",
   IF(ABS(RawData!E39 - RawData!D39)/RawData!D39 &lt; 0.02,"Near Call Wall","")
)</f>
        <v>#DIV/0!</v>
      </c>
      <c r="I39" t="e">
        <f>IF(RawData!F39="","",
   IF(ABS(RawData!F39 - RawData!D39)/RawData!D39 &lt; 0.02,"Near Put Wall","")
)</f>
        <v>#DIV/0!</v>
      </c>
      <c r="J39" t="str">
        <f>IF(RawData!G39="","",
   IF(RawData!G39 &lt; RawData!D39,"Below Flip","Above Flip")
)</f>
        <v>Above Flip</v>
      </c>
      <c r="K39" t="e">
        <f>IF(RawData!H39="","",
   (IF(LE[[#This Row],[GammaRegime]]="Long Gamma",10,0)) +
   (IF(RawData!K39&lt;0,10,0)) +
   (IF(AND(RawData!I39&lt;0,RawData!O39&gt;50),10,0)) +
   (IF(AND(RawData!I39&gt;0,RawData!O39&lt;50),10,0)) +
   (IF(ABS(RawData!E39 - RawData!D39)/RawData!D39 &lt; 0.02,5,0)) +
   (IF(RawData!G39&gt;RawData!D39,5,0)) +
   LE[[#This Row],[TierWeight]]
)</f>
        <v>#DIV/0!</v>
      </c>
      <c r="L39" t="e">
        <f>IF(RawData!H39="","",
   (IF(LE[[#This Row],[GammaRegime]]="Short Gamma",10,0)) +
   (IF(RawData!K39&gt;0,10,0)) +
   (IF(AND(RawData!I39&gt;0,RawData!O39&gt;50),10,0)) +
   (IF(AND(RawData!I39&lt;0,RawData!O39&lt;50),10,0)) +
   (IF(ABS(RawData!F39 - RawData!D39)/RawData!D39 &lt; 0.02,5,0)) +
   (IF(RawData!G39&lt;RawData!D39,5,0)) +
   LE[[#This Row],[TierWeight]]
)</f>
        <v>#DIV/0!</v>
      </c>
      <c r="M39" t="e">
        <f>IF(LE[[#This Row],[BullScore]]&gt;LE[[#This Row],[BearScore]],"Call",
   IF(LE[[#This Row],[BearScore]]&gt;LE[[#This Row],[BullScore]],"Put","Avoid")
)</f>
        <v>#DIV/0!</v>
      </c>
      <c r="N39" t="e">
        <f>MAX(LE[[#This Row],[BullScore]],LE[[#This Row],[BearScore]])</f>
        <v>#DIV/0!</v>
      </c>
      <c r="O3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0" spans="1:15" x14ac:dyDescent="0.25">
      <c r="A40" t="str">
        <f>RawData!A40</f>
        <v>RKLB</v>
      </c>
      <c r="B40">
        <f>RawData!B40</f>
        <v>2</v>
      </c>
      <c r="C40">
        <f t="shared" si="1"/>
        <v>5</v>
      </c>
      <c r="D40" t="str">
        <f>IF(RawData!H40="","",
   IF(RawData!H40&gt;0,"Long Gamma","Short Gamma")
)</f>
        <v>Long Gamma</v>
      </c>
      <c r="E40" t="str">
        <f>IF(RawData!K40="","",
   IF(RawData!K40&gt;0,"Dealers Long (Sell Rips)","Dealers Short (Buy Rips)")
)</f>
        <v/>
      </c>
      <c r="F40" t="str">
        <f>IF(OR(RawData!I40="",RawData!O40=""),"",
   IF(RawData!I40&gt;0,
      IF(RawData!O40&gt;50,"Downside Pressure","Upside Drift"),
      IF(RawData!O40&gt;50,"Upside Pressure","Downside Drift")
   )
)</f>
        <v>Downside Pressure</v>
      </c>
      <c r="G40" t="str">
        <f>IF(RawData!J40="","",
   IF(RawData!J40&lt;0,"Sell Into Close","Buy Into Close")
)</f>
        <v>Sell Into Close</v>
      </c>
      <c r="H40" t="e">
        <f>IF(RawData!E40="","",
   IF(ABS(RawData!E40 - RawData!D40)/RawData!D40 &lt; 0.02,"Near Call Wall","")
)</f>
        <v>#DIV/0!</v>
      </c>
      <c r="I40" t="e">
        <f>IF(RawData!F40="","",
   IF(ABS(RawData!F40 - RawData!D40)/RawData!D40 &lt; 0.02,"Near Put Wall","")
)</f>
        <v>#DIV/0!</v>
      </c>
      <c r="J40" t="str">
        <f>IF(RawData!G40="","",
   IF(RawData!G40 &lt; RawData!D40,"Below Flip","Above Flip")
)</f>
        <v>Above Flip</v>
      </c>
      <c r="K40" t="e">
        <f>IF(RawData!H40="","",
   (IF(LE[[#This Row],[GammaRegime]]="Long Gamma",10,0)) +
   (IF(RawData!K40&lt;0,10,0)) +
   (IF(AND(RawData!I40&lt;0,RawData!O40&gt;50),10,0)) +
   (IF(AND(RawData!I40&gt;0,RawData!O40&lt;50),10,0)) +
   (IF(ABS(RawData!E40 - RawData!D40)/RawData!D40 &lt; 0.02,5,0)) +
   (IF(RawData!G40&gt;RawData!D40,5,0)) +
   LE[[#This Row],[TierWeight]]
)</f>
        <v>#DIV/0!</v>
      </c>
      <c r="L40" t="e">
        <f>IF(RawData!H40="","",
   (IF(LE[[#This Row],[GammaRegime]]="Short Gamma",10,0)) +
   (IF(RawData!K40&gt;0,10,0)) +
   (IF(AND(RawData!I40&gt;0,RawData!O40&gt;50),10,0)) +
   (IF(AND(RawData!I40&lt;0,RawData!O40&lt;50),10,0)) +
   (IF(ABS(RawData!F40 - RawData!D40)/RawData!D40 &lt; 0.02,5,0)) +
   (IF(RawData!G40&lt;RawData!D40,5,0)) +
   LE[[#This Row],[TierWeight]]
)</f>
        <v>#DIV/0!</v>
      </c>
      <c r="M40" t="e">
        <f>IF(LE[[#This Row],[BullScore]]&gt;LE[[#This Row],[BearScore]],"Call",
   IF(LE[[#This Row],[BearScore]]&gt;LE[[#This Row],[BullScore]],"Put","Avoid")
)</f>
        <v>#DIV/0!</v>
      </c>
      <c r="N40" t="e">
        <f>MAX(LE[[#This Row],[BullScore]],LE[[#This Row],[BearScore]])</f>
        <v>#DIV/0!</v>
      </c>
      <c r="O4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1" spans="1:15" x14ac:dyDescent="0.25">
      <c r="A41" t="str">
        <f>RawData!A41</f>
        <v>RIOT</v>
      </c>
      <c r="B41">
        <f>RawData!B41</f>
        <v>2</v>
      </c>
      <c r="C41">
        <f t="shared" si="1"/>
        <v>5</v>
      </c>
      <c r="D41" t="str">
        <f>IF(RawData!H41="","",
   IF(RawData!H41&gt;0,"Long Gamma","Short Gamma")
)</f>
        <v>Long Gamma</v>
      </c>
      <c r="E41" t="str">
        <f>IF(RawData!K41="","",
   IF(RawData!K41&gt;0,"Dealers Long (Sell Rips)","Dealers Short (Buy Rips)")
)</f>
        <v/>
      </c>
      <c r="F41" t="str">
        <f>IF(OR(RawData!I41="",RawData!O41=""),"",
   IF(RawData!I41&gt;0,
      IF(RawData!O41&gt;50,"Downside Pressure","Upside Drift"),
      IF(RawData!O41&gt;50,"Upside Pressure","Downside Drift")
   )
)</f>
        <v>Upside Drift</v>
      </c>
      <c r="G41" t="str">
        <f>IF(RawData!J41="","",
   IF(RawData!J41&lt;0,"Sell Into Close","Buy Into Close")
)</f>
        <v>Sell Into Close</v>
      </c>
      <c r="H41" t="e">
        <f>IF(RawData!E41="","",
   IF(ABS(RawData!E41 - RawData!D41)/RawData!D41 &lt; 0.02,"Near Call Wall","")
)</f>
        <v>#DIV/0!</v>
      </c>
      <c r="I41" t="e">
        <f>IF(RawData!F41="","",
   IF(ABS(RawData!F41 - RawData!D41)/RawData!D41 &lt; 0.02,"Near Put Wall","")
)</f>
        <v>#DIV/0!</v>
      </c>
      <c r="J41" t="str">
        <f>IF(RawData!G41="","",
   IF(RawData!G41 &lt; RawData!D41,"Below Flip","Above Flip")
)</f>
        <v>Above Flip</v>
      </c>
      <c r="K41" t="e">
        <f>IF(RawData!H41="","",
   (IF(LE[[#This Row],[GammaRegime]]="Long Gamma",10,0)) +
   (IF(RawData!K41&lt;0,10,0)) +
   (IF(AND(RawData!I41&lt;0,RawData!O41&gt;50),10,0)) +
   (IF(AND(RawData!I41&gt;0,RawData!O41&lt;50),10,0)) +
   (IF(ABS(RawData!E41 - RawData!D41)/RawData!D41 &lt; 0.02,5,0)) +
   (IF(RawData!G41&gt;RawData!D41,5,0)) +
   LE[[#This Row],[TierWeight]]
)</f>
        <v>#DIV/0!</v>
      </c>
      <c r="L41" t="e">
        <f>IF(RawData!H41="","",
   (IF(LE[[#This Row],[GammaRegime]]="Short Gamma",10,0)) +
   (IF(RawData!K41&gt;0,10,0)) +
   (IF(AND(RawData!I41&gt;0,RawData!O41&gt;50),10,0)) +
   (IF(AND(RawData!I41&lt;0,RawData!O41&lt;50),10,0)) +
   (IF(ABS(RawData!F41 - RawData!D41)/RawData!D41 &lt; 0.02,5,0)) +
   (IF(RawData!G41&lt;RawData!D41,5,0)) +
   LE[[#This Row],[TierWeight]]
)</f>
        <v>#DIV/0!</v>
      </c>
      <c r="M41" t="e">
        <f>IF(LE[[#This Row],[BullScore]]&gt;LE[[#This Row],[BearScore]],"Call",
   IF(LE[[#This Row],[BearScore]]&gt;LE[[#This Row],[BullScore]],"Put","Avoid")
)</f>
        <v>#DIV/0!</v>
      </c>
      <c r="N41" t="e">
        <f>MAX(LE[[#This Row],[BullScore]],LE[[#This Row],[BearScore]])</f>
        <v>#DIV/0!</v>
      </c>
      <c r="O4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2" spans="1:15" x14ac:dyDescent="0.25">
      <c r="A42" t="str">
        <f>RawData!A42</f>
        <v>COIN</v>
      </c>
      <c r="B42">
        <f>RawData!B42</f>
        <v>2</v>
      </c>
      <c r="C42">
        <f t="shared" si="1"/>
        <v>5</v>
      </c>
      <c r="D42" t="str">
        <f>IF(RawData!H42="","",
   IF(RawData!H42&gt;0,"Long Gamma","Short Gamma")
)</f>
        <v>Short Gamma</v>
      </c>
      <c r="E42" t="str">
        <f>IF(RawData!K42="","",
   IF(RawData!K42&gt;0,"Dealers Long (Sell Rips)","Dealers Short (Buy Rips)")
)</f>
        <v/>
      </c>
      <c r="F42" t="str">
        <f>IF(OR(RawData!I42="",RawData!O42=""),"",
   IF(RawData!I42&gt;0,
      IF(RawData!O42&gt;50,"Downside Pressure","Upside Drift"),
      IF(RawData!O42&gt;50,"Upside Pressure","Downside Drift")
   )
)</f>
        <v>Upside Drift</v>
      </c>
      <c r="G42" t="str">
        <f>IF(RawData!J42="","",
   IF(RawData!J42&lt;0,"Sell Into Close","Buy Into Close")
)</f>
        <v>Sell Into Close</v>
      </c>
      <c r="H42" t="str">
        <f>IF(RawData!E42="","",
   IF(ABS(RawData!E42 - RawData!D42)/RawData!D42 &lt; 0.02,"Near Call Wall","")
)</f>
        <v/>
      </c>
      <c r="I42" t="str">
        <f>IF(RawData!F42="","",
   IF(ABS(RawData!F42 - RawData!D42)/RawData!D42 &lt; 0.02,"Near Put Wall","")
)</f>
        <v/>
      </c>
      <c r="J42" t="str">
        <f>IF(RawData!G42="","",
   IF(RawData!G42 &lt; RawData!D42,"Below Flip","Above Flip")
)</f>
        <v>Above Flip</v>
      </c>
      <c r="K42" t="e">
        <f>IF(RawData!H42="","",
   (IF(LE[[#This Row],[GammaRegime]]="Long Gamma",10,0)) +
   (IF(RawData!K42&lt;0,10,0)) +
   (IF(AND(RawData!I42&lt;0,RawData!O42&gt;50),10,0)) +
   (IF(AND(RawData!I42&gt;0,RawData!O42&lt;50),10,0)) +
   (IF(ABS(RawData!E42 - RawData!D42)/RawData!D42 &lt; 0.02,5,0)) +
   (IF(RawData!G42&gt;RawData!D42,5,0)) +
   LE[[#This Row],[TierWeight]]
)</f>
        <v>#DIV/0!</v>
      </c>
      <c r="L42" t="e">
        <f>IF(RawData!H42="","",
   (IF(LE[[#This Row],[GammaRegime]]="Short Gamma",10,0)) +
   (IF(RawData!K42&gt;0,10,0)) +
   (IF(AND(RawData!I42&gt;0,RawData!O42&gt;50),10,0)) +
   (IF(AND(RawData!I42&lt;0,RawData!O42&lt;50),10,0)) +
   (IF(ABS(RawData!F42 - RawData!D42)/RawData!D42 &lt; 0.02,5,0)) +
   (IF(RawData!G42&lt;RawData!D42,5,0)) +
   LE[[#This Row],[TierWeight]]
)</f>
        <v>#DIV/0!</v>
      </c>
      <c r="M42" t="e">
        <f>IF(LE[[#This Row],[BullScore]]&gt;LE[[#This Row],[BearScore]],"Call",
   IF(LE[[#This Row],[BearScore]]&gt;LE[[#This Row],[BullScore]],"Put","Avoid")
)</f>
        <v>#DIV/0!</v>
      </c>
      <c r="N42" t="e">
        <f>MAX(LE[[#This Row],[BullScore]],LE[[#This Row],[BearScore]])</f>
        <v>#DIV/0!</v>
      </c>
      <c r="O4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3" spans="1:15" x14ac:dyDescent="0.25">
      <c r="A43" t="str">
        <f>RawData!A43</f>
        <v>MSTR</v>
      </c>
      <c r="B43">
        <f>RawData!B43</f>
        <v>2</v>
      </c>
      <c r="C43">
        <f t="shared" si="1"/>
        <v>5</v>
      </c>
      <c r="D43" t="str">
        <f>IF(RawData!H43="","",
   IF(RawData!H43&gt;0,"Long Gamma","Short Gamma")
)</f>
        <v>Short Gamma</v>
      </c>
      <c r="E43" t="str">
        <f>IF(RawData!K43="","",
   IF(RawData!K43&gt;0,"Dealers Long (Sell Rips)","Dealers Short (Buy Rips)")
)</f>
        <v/>
      </c>
      <c r="F43" t="str">
        <f>IF(OR(RawData!I43="",RawData!O43=""),"",
   IF(RawData!I43&gt;0,
      IF(RawData!O43&gt;50,"Downside Pressure","Upside Drift"),
      IF(RawData!O43&gt;50,"Upside Pressure","Downside Drift")
   )
)</f>
        <v>Upside Drift</v>
      </c>
      <c r="G43" t="str">
        <f>IF(RawData!J43="","",
   IF(RawData!J43&lt;0,"Sell Into Close","Buy Into Close")
)</f>
        <v>Sell Into Close</v>
      </c>
      <c r="H43" t="e">
        <f>IF(RawData!E43="","",
   IF(ABS(RawData!E43 - RawData!D43)/RawData!D43 &lt; 0.02,"Near Call Wall","")
)</f>
        <v>#DIV/0!</v>
      </c>
      <c r="I43" t="e">
        <f>IF(RawData!F43="","",
   IF(ABS(RawData!F43 - RawData!D43)/RawData!D43 &lt; 0.02,"Near Put Wall","")
)</f>
        <v>#DIV/0!</v>
      </c>
      <c r="J43" t="str">
        <f>IF(RawData!G43="","",
   IF(RawData!G43 &lt; RawData!D43,"Below Flip","Above Flip")
)</f>
        <v>Above Flip</v>
      </c>
      <c r="K43" t="e">
        <f>IF(RawData!H43="","",
   (IF(LE[[#This Row],[GammaRegime]]="Long Gamma",10,0)) +
   (IF(RawData!K43&lt;0,10,0)) +
   (IF(AND(RawData!I43&lt;0,RawData!O43&gt;50),10,0)) +
   (IF(AND(RawData!I43&gt;0,RawData!O43&lt;50),10,0)) +
   (IF(ABS(RawData!E43 - RawData!D43)/RawData!D43 &lt; 0.02,5,0)) +
   (IF(RawData!G43&gt;RawData!D43,5,0)) +
   LE[[#This Row],[TierWeight]]
)</f>
        <v>#DIV/0!</v>
      </c>
      <c r="L43" t="e">
        <f>IF(RawData!H43="","",
   (IF(LE[[#This Row],[GammaRegime]]="Short Gamma",10,0)) +
   (IF(RawData!K43&gt;0,10,0)) +
   (IF(AND(RawData!I43&gt;0,RawData!O43&gt;50),10,0)) +
   (IF(AND(RawData!I43&lt;0,RawData!O43&lt;50),10,0)) +
   (IF(ABS(RawData!F43 - RawData!D43)/RawData!D43 &lt; 0.02,5,0)) +
   (IF(RawData!G43&lt;RawData!D43,5,0)) +
   LE[[#This Row],[TierWeight]]
)</f>
        <v>#DIV/0!</v>
      </c>
      <c r="M43" t="e">
        <f>IF(LE[[#This Row],[BullScore]]&gt;LE[[#This Row],[BearScore]],"Call",
   IF(LE[[#This Row],[BearScore]]&gt;LE[[#This Row],[BullScore]],"Put","Avoid")
)</f>
        <v>#DIV/0!</v>
      </c>
      <c r="N43" t="e">
        <f>MAX(LE[[#This Row],[BullScore]],LE[[#This Row],[BearScore]])</f>
        <v>#DIV/0!</v>
      </c>
      <c r="O4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4" spans="1:15" x14ac:dyDescent="0.25">
      <c r="A44" t="str">
        <f>RawData!A44</f>
        <v>SNOW</v>
      </c>
      <c r="B44">
        <f>RawData!B44</f>
        <v>2</v>
      </c>
      <c r="C44">
        <f t="shared" si="1"/>
        <v>5</v>
      </c>
      <c r="D44" t="str">
        <f>IF(RawData!H44="","",
   IF(RawData!H44&gt;0,"Long Gamma","Short Gamma")
)</f>
        <v>Long Gamma</v>
      </c>
      <c r="E44" t="str">
        <f>IF(RawData!K44="","",
   IF(RawData!K44&gt;0,"Dealers Long (Sell Rips)","Dealers Short (Buy Rips)")
)</f>
        <v/>
      </c>
      <c r="F44" t="str">
        <f>IF(OR(RawData!I44="",RawData!O44=""),"",
   IF(RawData!I44&gt;0,
      IF(RawData!O44&gt;50,"Downside Pressure","Upside Drift"),
      IF(RawData!O44&gt;50,"Upside Pressure","Downside Drift")
   )
)</f>
        <v>Downside Pressure</v>
      </c>
      <c r="G44" t="str">
        <f>IF(RawData!J44="","",
   IF(RawData!J44&lt;0,"Sell Into Close","Buy Into Close")
)</f>
        <v>Sell Into Close</v>
      </c>
      <c r="H44" t="e">
        <f>IF(RawData!E44="","",
   IF(ABS(RawData!E44 - RawData!D44)/RawData!D44 &lt; 0.02,"Near Call Wall","")
)</f>
        <v>#DIV/0!</v>
      </c>
      <c r="I44" t="e">
        <f>IF(RawData!F44="","",
   IF(ABS(RawData!F44 - RawData!D44)/RawData!D44 &lt; 0.02,"Near Put Wall","")
)</f>
        <v>#DIV/0!</v>
      </c>
      <c r="J44" t="str">
        <f>IF(RawData!G44="","",
   IF(RawData!G44 &lt; RawData!D44,"Below Flip","Above Flip")
)</f>
        <v>Above Flip</v>
      </c>
      <c r="K44" t="e">
        <f>IF(RawData!H44="","",
   (IF(LE[[#This Row],[GammaRegime]]="Long Gamma",10,0)) +
   (IF(RawData!K44&lt;0,10,0)) +
   (IF(AND(RawData!I44&lt;0,RawData!O44&gt;50),10,0)) +
   (IF(AND(RawData!I44&gt;0,RawData!O44&lt;50),10,0)) +
   (IF(ABS(RawData!E44 - RawData!D44)/RawData!D44 &lt; 0.02,5,0)) +
   (IF(RawData!G44&gt;RawData!D44,5,0)) +
   LE[[#This Row],[TierWeight]]
)</f>
        <v>#DIV/0!</v>
      </c>
      <c r="L44" t="e">
        <f>IF(RawData!H44="","",
   (IF(LE[[#This Row],[GammaRegime]]="Short Gamma",10,0)) +
   (IF(RawData!K44&gt;0,10,0)) +
   (IF(AND(RawData!I44&gt;0,RawData!O44&gt;50),10,0)) +
   (IF(AND(RawData!I44&lt;0,RawData!O44&lt;50),10,0)) +
   (IF(ABS(RawData!F44 - RawData!D44)/RawData!D44 &lt; 0.02,5,0)) +
   (IF(RawData!G44&lt;RawData!D44,5,0)) +
   LE[[#This Row],[TierWeight]]
)</f>
        <v>#DIV/0!</v>
      </c>
      <c r="M44" t="e">
        <f>IF(LE[[#This Row],[BullScore]]&gt;LE[[#This Row],[BearScore]],"Call",
   IF(LE[[#This Row],[BearScore]]&gt;LE[[#This Row],[BullScore]],"Put","Avoid")
)</f>
        <v>#DIV/0!</v>
      </c>
      <c r="N44" t="e">
        <f>MAX(LE[[#This Row],[BullScore]],LE[[#This Row],[BearScore]])</f>
        <v>#DIV/0!</v>
      </c>
      <c r="O4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5" spans="1:15" x14ac:dyDescent="0.25">
      <c r="A45" t="str">
        <f>RawData!A45</f>
        <v>LLY</v>
      </c>
      <c r="B45">
        <f>RawData!B45</f>
        <v>2</v>
      </c>
      <c r="C45">
        <f t="shared" si="1"/>
        <v>5</v>
      </c>
      <c r="D45" t="str">
        <f>IF(RawData!H45="","",
   IF(RawData!H45&gt;0,"Long Gamma","Short Gamma")
)</f>
        <v>Long Gamma</v>
      </c>
      <c r="E45" t="str">
        <f>IF(RawData!K45="","",
   IF(RawData!K45&gt;0,"Dealers Long (Sell Rips)","Dealers Short (Buy Rips)")
)</f>
        <v/>
      </c>
      <c r="F45" t="str">
        <f>IF(OR(RawData!I45="",RawData!O45=""),"",
   IF(RawData!I45&gt;0,
      IF(RawData!O45&gt;50,"Downside Pressure","Upside Drift"),
      IF(RawData!O45&gt;50,"Upside Pressure","Downside Drift")
   )
)</f>
        <v>Upside Drift</v>
      </c>
      <c r="G45" t="str">
        <f>IF(RawData!J45="","",
   IF(RawData!J45&lt;0,"Sell Into Close","Buy Into Close")
)</f>
        <v>Buy Into Close</v>
      </c>
      <c r="H45" t="e">
        <f>IF(RawData!E45="","",
   IF(ABS(RawData!E45 - RawData!D45)/RawData!D45 &lt; 0.02,"Near Call Wall","")
)</f>
        <v>#DIV/0!</v>
      </c>
      <c r="I45" t="e">
        <f>IF(RawData!F45="","",
   IF(ABS(RawData!F45 - RawData!D45)/RawData!D45 &lt; 0.02,"Near Put Wall","")
)</f>
        <v>#DIV/0!</v>
      </c>
      <c r="J45" t="str">
        <f>IF(RawData!G45="","",
   IF(RawData!G45 &lt; RawData!D45,"Below Flip","Above Flip")
)</f>
        <v>Above Flip</v>
      </c>
      <c r="K45" t="e">
        <f>IF(RawData!H45="","",
   (IF(LE[[#This Row],[GammaRegime]]="Long Gamma",10,0)) +
   (IF(RawData!K45&lt;0,10,0)) +
   (IF(AND(RawData!I45&lt;0,RawData!O45&gt;50),10,0)) +
   (IF(AND(RawData!I45&gt;0,RawData!O45&lt;50),10,0)) +
   (IF(ABS(RawData!E45 - RawData!D45)/RawData!D45 &lt; 0.02,5,0)) +
   (IF(RawData!G45&gt;RawData!D45,5,0)) +
   LE[[#This Row],[TierWeight]]
)</f>
        <v>#DIV/0!</v>
      </c>
      <c r="L45" t="e">
        <f>IF(RawData!H45="","",
   (IF(LE[[#This Row],[GammaRegime]]="Short Gamma",10,0)) +
   (IF(RawData!K45&gt;0,10,0)) +
   (IF(AND(RawData!I45&gt;0,RawData!O45&gt;50),10,0)) +
   (IF(AND(RawData!I45&lt;0,RawData!O45&lt;50),10,0)) +
   (IF(ABS(RawData!F45 - RawData!D45)/RawData!D45 &lt; 0.02,5,0)) +
   (IF(RawData!G45&lt;RawData!D45,5,0)) +
   LE[[#This Row],[TierWeight]]
)</f>
        <v>#DIV/0!</v>
      </c>
      <c r="M45" t="e">
        <f>IF(LE[[#This Row],[BullScore]]&gt;LE[[#This Row],[BearScore]],"Call",
   IF(LE[[#This Row],[BearScore]]&gt;LE[[#This Row],[BullScore]],"Put","Avoid")
)</f>
        <v>#DIV/0!</v>
      </c>
      <c r="N45" t="e">
        <f>MAX(LE[[#This Row],[BullScore]],LE[[#This Row],[BearScore]])</f>
        <v>#DIV/0!</v>
      </c>
      <c r="O4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6" spans="1:15" x14ac:dyDescent="0.25">
      <c r="A46" t="str">
        <f>RawData!A46</f>
        <v>JNJ</v>
      </c>
      <c r="B46">
        <f>RawData!B46</f>
        <v>2</v>
      </c>
      <c r="C46">
        <f t="shared" si="1"/>
        <v>5</v>
      </c>
      <c r="D46" t="str">
        <f>IF(RawData!H46="","",
   IF(RawData!H46&gt;0,"Long Gamma","Short Gamma")
)</f>
        <v>Long Gamma</v>
      </c>
      <c r="E46" t="str">
        <f>IF(RawData!K46="","",
   IF(RawData!K46&gt;0,"Dealers Long (Sell Rips)","Dealers Short (Buy Rips)")
)</f>
        <v/>
      </c>
      <c r="F46" t="str">
        <f>IF(OR(RawData!I46="",RawData!O46=""),"",
   IF(RawData!I46&gt;0,
      IF(RawData!O46&gt;50,"Downside Pressure","Upside Drift"),
      IF(RawData!O46&gt;50,"Upside Pressure","Downside Drift")
   )
)</f>
        <v>Upside Drift</v>
      </c>
      <c r="G46" t="str">
        <f>IF(RawData!J46="","",
   IF(RawData!J46&lt;0,"Sell Into Close","Buy Into Close")
)</f>
        <v>Sell Into Close</v>
      </c>
      <c r="H46" t="e">
        <f>IF(RawData!E46="","",
   IF(ABS(RawData!E46 - RawData!D46)/RawData!D46 &lt; 0.02,"Near Call Wall","")
)</f>
        <v>#DIV/0!</v>
      </c>
      <c r="I46" t="e">
        <f>IF(RawData!F46="","",
   IF(ABS(RawData!F46 - RawData!D46)/RawData!D46 &lt; 0.02,"Near Put Wall","")
)</f>
        <v>#DIV/0!</v>
      </c>
      <c r="J46" t="str">
        <f>IF(RawData!G46="","",
   IF(RawData!G46 &lt; RawData!D46,"Below Flip","Above Flip")
)</f>
        <v>Above Flip</v>
      </c>
      <c r="K46" t="e">
        <f>IF(RawData!H46="","",
   (IF(LE[[#This Row],[GammaRegime]]="Long Gamma",10,0)) +
   (IF(RawData!K46&lt;0,10,0)) +
   (IF(AND(RawData!I46&lt;0,RawData!O46&gt;50),10,0)) +
   (IF(AND(RawData!I46&gt;0,RawData!O46&lt;50),10,0)) +
   (IF(ABS(RawData!E46 - RawData!D46)/RawData!D46 &lt; 0.02,5,0)) +
   (IF(RawData!G46&gt;RawData!D46,5,0)) +
   LE[[#This Row],[TierWeight]]
)</f>
        <v>#DIV/0!</v>
      </c>
      <c r="L46" t="e">
        <f>IF(RawData!H46="","",
   (IF(LE[[#This Row],[GammaRegime]]="Short Gamma",10,0)) +
   (IF(RawData!K46&gt;0,10,0)) +
   (IF(AND(RawData!I46&gt;0,RawData!O46&gt;50),10,0)) +
   (IF(AND(RawData!I46&lt;0,RawData!O46&lt;50),10,0)) +
   (IF(ABS(RawData!F46 - RawData!D46)/RawData!D46 &lt; 0.02,5,0)) +
   (IF(RawData!G46&lt;RawData!D46,5,0)) +
   LE[[#This Row],[TierWeight]]
)</f>
        <v>#DIV/0!</v>
      </c>
      <c r="M46" t="e">
        <f>IF(LE[[#This Row],[BullScore]]&gt;LE[[#This Row],[BearScore]],"Call",
   IF(LE[[#This Row],[BearScore]]&gt;LE[[#This Row],[BullScore]],"Put","Avoid")
)</f>
        <v>#DIV/0!</v>
      </c>
      <c r="N46" t="e">
        <f>MAX(LE[[#This Row],[BullScore]],LE[[#This Row],[BearScore]])</f>
        <v>#DIV/0!</v>
      </c>
      <c r="O4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7" spans="1:15" x14ac:dyDescent="0.25">
      <c r="A47" t="str">
        <f>RawData!A47</f>
        <v>UNH</v>
      </c>
      <c r="B47">
        <f>RawData!B47</f>
        <v>2</v>
      </c>
      <c r="C47">
        <f t="shared" si="1"/>
        <v>5</v>
      </c>
      <c r="D47" t="str">
        <f>IF(RawData!H47="","",
   IF(RawData!H47&gt;0,"Long Gamma","Short Gamma")
)</f>
        <v>Long Gamma</v>
      </c>
      <c r="E47" t="str">
        <f>IF(RawData!K47="","",
   IF(RawData!K47&gt;0,"Dealers Long (Sell Rips)","Dealers Short (Buy Rips)")
)</f>
        <v/>
      </c>
      <c r="F47" t="str">
        <f>IF(OR(RawData!I47="",RawData!O47=""),"",
   IF(RawData!I47&gt;0,
      IF(RawData!O47&gt;50,"Downside Pressure","Upside Drift"),
      IF(RawData!O47&gt;50,"Upside Pressure","Downside Drift")
   )
)</f>
        <v>Upside Drift</v>
      </c>
      <c r="G47" t="str">
        <f>IF(RawData!J47="","",
   IF(RawData!J47&lt;0,"Sell Into Close","Buy Into Close")
)</f>
        <v>Sell Into Close</v>
      </c>
      <c r="H47" t="e">
        <f>IF(RawData!E47="","",
   IF(ABS(RawData!E47 - RawData!D47)/RawData!D47 &lt; 0.02,"Near Call Wall","")
)</f>
        <v>#DIV/0!</v>
      </c>
      <c r="I47" t="e">
        <f>IF(RawData!F47="","",
   IF(ABS(RawData!F47 - RawData!D47)/RawData!D47 &lt; 0.02,"Near Put Wall","")
)</f>
        <v>#DIV/0!</v>
      </c>
      <c r="J47" t="str">
        <f>IF(RawData!G47="","",
   IF(RawData!G47 &lt; RawData!D47,"Below Flip","Above Flip")
)</f>
        <v>Above Flip</v>
      </c>
      <c r="K47" t="e">
        <f>IF(RawData!H47="","",
   (IF(LE[[#This Row],[GammaRegime]]="Long Gamma",10,0)) +
   (IF(RawData!K47&lt;0,10,0)) +
   (IF(AND(RawData!I47&lt;0,RawData!O47&gt;50),10,0)) +
   (IF(AND(RawData!I47&gt;0,RawData!O47&lt;50),10,0)) +
   (IF(ABS(RawData!E47 - RawData!D47)/RawData!D47 &lt; 0.02,5,0)) +
   (IF(RawData!G47&gt;RawData!D47,5,0)) +
   LE[[#This Row],[TierWeight]]
)</f>
        <v>#DIV/0!</v>
      </c>
      <c r="L47" t="e">
        <f>IF(RawData!H47="","",
   (IF(LE[[#This Row],[GammaRegime]]="Short Gamma",10,0)) +
   (IF(RawData!K47&gt;0,10,0)) +
   (IF(AND(RawData!I47&gt;0,RawData!O47&gt;50),10,0)) +
   (IF(AND(RawData!I47&lt;0,RawData!O47&lt;50),10,0)) +
   (IF(ABS(RawData!F47 - RawData!D47)/RawData!D47 &lt; 0.02,5,0)) +
   (IF(RawData!G47&lt;RawData!D47,5,0)) +
   LE[[#This Row],[TierWeight]]
)</f>
        <v>#DIV/0!</v>
      </c>
      <c r="M47" t="e">
        <f>IF(LE[[#This Row],[BullScore]]&gt;LE[[#This Row],[BearScore]],"Call",
   IF(LE[[#This Row],[BearScore]]&gt;LE[[#This Row],[BullScore]],"Put","Avoid")
)</f>
        <v>#DIV/0!</v>
      </c>
      <c r="N47" t="e">
        <f>MAX(LE[[#This Row],[BullScore]],LE[[#This Row],[BearScore]])</f>
        <v>#DIV/0!</v>
      </c>
      <c r="O4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8" spans="1:15" x14ac:dyDescent="0.25">
      <c r="A48" t="str">
        <f>RawData!A48</f>
        <v>TGT</v>
      </c>
      <c r="B48">
        <f>RawData!B48</f>
        <v>2</v>
      </c>
      <c r="C48">
        <f t="shared" si="1"/>
        <v>5</v>
      </c>
      <c r="D48" t="str">
        <f>IF(RawData!H48="","",
   IF(RawData!H48&gt;0,"Long Gamma","Short Gamma")
)</f>
        <v>Long Gamma</v>
      </c>
      <c r="E48" t="str">
        <f>IF(RawData!K48="","",
   IF(RawData!K48&gt;0,"Dealers Long (Sell Rips)","Dealers Short (Buy Rips)")
)</f>
        <v/>
      </c>
      <c r="F48" t="str">
        <f>IF(OR(RawData!I48="",RawData!O48=""),"",
   IF(RawData!I48&gt;0,
      IF(RawData!O48&gt;50,"Downside Pressure","Upside Drift"),
      IF(RawData!O48&gt;50,"Upside Pressure","Downside Drift")
   )
)</f>
        <v>Upside Drift</v>
      </c>
      <c r="G48" t="str">
        <f>IF(RawData!J48="","",
   IF(RawData!J48&lt;0,"Sell Into Close","Buy Into Close")
)</f>
        <v>Sell Into Close</v>
      </c>
      <c r="H48" t="e">
        <f>IF(RawData!E48="","",
   IF(ABS(RawData!E48 - RawData!D48)/RawData!D48 &lt; 0.02,"Near Call Wall","")
)</f>
        <v>#DIV/0!</v>
      </c>
      <c r="I48" t="e">
        <f>IF(RawData!F48="","",
   IF(ABS(RawData!F48 - RawData!D48)/RawData!D48 &lt; 0.02,"Near Put Wall","")
)</f>
        <v>#DIV/0!</v>
      </c>
      <c r="J48" t="str">
        <f>IF(RawData!G48="","",
   IF(RawData!G48 &lt; RawData!D48,"Below Flip","Above Flip")
)</f>
        <v>Above Flip</v>
      </c>
      <c r="K48" t="e">
        <f>IF(RawData!H48="","",
   (IF(LE[[#This Row],[GammaRegime]]="Long Gamma",10,0)) +
   (IF(RawData!K48&lt;0,10,0)) +
   (IF(AND(RawData!I48&lt;0,RawData!O48&gt;50),10,0)) +
   (IF(AND(RawData!I48&gt;0,RawData!O48&lt;50),10,0)) +
   (IF(ABS(RawData!E48 - RawData!D48)/RawData!D48 &lt; 0.02,5,0)) +
   (IF(RawData!G48&gt;RawData!D48,5,0)) +
   LE[[#This Row],[TierWeight]]
)</f>
        <v>#DIV/0!</v>
      </c>
      <c r="L48" t="e">
        <f>IF(RawData!H48="","",
   (IF(LE[[#This Row],[GammaRegime]]="Short Gamma",10,0)) +
   (IF(RawData!K48&gt;0,10,0)) +
   (IF(AND(RawData!I48&gt;0,RawData!O48&gt;50),10,0)) +
   (IF(AND(RawData!I48&lt;0,RawData!O48&lt;50),10,0)) +
   (IF(ABS(RawData!F48 - RawData!D48)/RawData!D48 &lt; 0.02,5,0)) +
   (IF(RawData!G48&lt;RawData!D48,5,0)) +
   LE[[#This Row],[TierWeight]]
)</f>
        <v>#DIV/0!</v>
      </c>
      <c r="M48" t="e">
        <f>IF(LE[[#This Row],[BullScore]]&gt;LE[[#This Row],[BearScore]],"Call",
   IF(LE[[#This Row],[BearScore]]&gt;LE[[#This Row],[BullScore]],"Put","Avoid")
)</f>
        <v>#DIV/0!</v>
      </c>
      <c r="N48" t="e">
        <f>MAX(LE[[#This Row],[BullScore]],LE[[#This Row],[BearScore]])</f>
        <v>#DIV/0!</v>
      </c>
      <c r="O4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49" spans="1:15" x14ac:dyDescent="0.25">
      <c r="A49" t="str">
        <f>RawData!A49</f>
        <v>HD</v>
      </c>
      <c r="B49">
        <f>RawData!B49</f>
        <v>2</v>
      </c>
      <c r="C49">
        <f t="shared" si="1"/>
        <v>5</v>
      </c>
      <c r="D49" t="str">
        <f>IF(RawData!H49="","",
   IF(RawData!H49&gt;0,"Long Gamma","Short Gamma")
)</f>
        <v>Long Gamma</v>
      </c>
      <c r="E49" t="str">
        <f>IF(RawData!K49="","",
   IF(RawData!K49&gt;0,"Dealers Long (Sell Rips)","Dealers Short (Buy Rips)")
)</f>
        <v/>
      </c>
      <c r="F49" t="str">
        <f>IF(OR(RawData!I49="",RawData!O49=""),"",
   IF(RawData!I49&gt;0,
      IF(RawData!O49&gt;50,"Downside Pressure","Upside Drift"),
      IF(RawData!O49&gt;50,"Upside Pressure","Downside Drift")
   )
)</f>
        <v>Downside Pressure</v>
      </c>
      <c r="G49" t="str">
        <f>IF(RawData!J49="","",
   IF(RawData!J49&lt;0,"Sell Into Close","Buy Into Close")
)</f>
        <v>Sell Into Close</v>
      </c>
      <c r="H49" t="e">
        <f>IF(RawData!E49="","",
   IF(ABS(RawData!E49 - RawData!D49)/RawData!D49 &lt; 0.02,"Near Call Wall","")
)</f>
        <v>#DIV/0!</v>
      </c>
      <c r="I49" t="e">
        <f>IF(RawData!F49="","",
   IF(ABS(RawData!F49 - RawData!D49)/RawData!D49 &lt; 0.02,"Near Put Wall","")
)</f>
        <v>#DIV/0!</v>
      </c>
      <c r="J49" t="str">
        <f>IF(RawData!G49="","",
   IF(RawData!G49 &lt; RawData!D49,"Below Flip","Above Flip")
)</f>
        <v>Above Flip</v>
      </c>
      <c r="K49" t="e">
        <f>IF(RawData!H49="","",
   (IF(LE[[#This Row],[GammaRegime]]="Long Gamma",10,0)) +
   (IF(RawData!K49&lt;0,10,0)) +
   (IF(AND(RawData!I49&lt;0,RawData!O49&gt;50),10,0)) +
   (IF(AND(RawData!I49&gt;0,RawData!O49&lt;50),10,0)) +
   (IF(ABS(RawData!E49 - RawData!D49)/RawData!D49 &lt; 0.02,5,0)) +
   (IF(RawData!G49&gt;RawData!D49,5,0)) +
   LE[[#This Row],[TierWeight]]
)</f>
        <v>#DIV/0!</v>
      </c>
      <c r="L49" t="e">
        <f>IF(RawData!H49="","",
   (IF(LE[[#This Row],[GammaRegime]]="Short Gamma",10,0)) +
   (IF(RawData!K49&gt;0,10,0)) +
   (IF(AND(RawData!I49&gt;0,RawData!O49&gt;50),10,0)) +
   (IF(AND(RawData!I49&lt;0,RawData!O49&lt;50),10,0)) +
   (IF(ABS(RawData!F49 - RawData!D49)/RawData!D49 &lt; 0.02,5,0)) +
   (IF(RawData!G49&lt;RawData!D49,5,0)) +
   LE[[#This Row],[TierWeight]]
)</f>
        <v>#DIV/0!</v>
      </c>
      <c r="M49" t="e">
        <f>IF(LE[[#This Row],[BullScore]]&gt;LE[[#This Row],[BearScore]],"Call",
   IF(LE[[#This Row],[BearScore]]&gt;LE[[#This Row],[BullScore]],"Put","Avoid")
)</f>
        <v>#DIV/0!</v>
      </c>
      <c r="N49" t="e">
        <f>MAX(LE[[#This Row],[BullScore]],LE[[#This Row],[BearScore]])</f>
        <v>#DIV/0!</v>
      </c>
      <c r="O4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0" spans="1:15" x14ac:dyDescent="0.25">
      <c r="A50" t="str">
        <f>RawData!A50</f>
        <v>COST</v>
      </c>
      <c r="B50">
        <f>RawData!B50</f>
        <v>2</v>
      </c>
      <c r="C50">
        <f t="shared" si="1"/>
        <v>5</v>
      </c>
      <c r="D50" t="str">
        <f>IF(RawData!H50="","",
   IF(RawData!H50&gt;0,"Long Gamma","Short Gamma")
)</f>
        <v>Short Gamma</v>
      </c>
      <c r="E50" t="str">
        <f>IF(RawData!K50="","",
   IF(RawData!K50&gt;0,"Dealers Long (Sell Rips)","Dealers Short (Buy Rips)")
)</f>
        <v/>
      </c>
      <c r="F50" t="str">
        <f>IF(OR(RawData!I50="",RawData!O50=""),"",
   IF(RawData!I50&gt;0,
      IF(RawData!O50&gt;50,"Downside Pressure","Upside Drift"),
      IF(RawData!O50&gt;50,"Upside Pressure","Downside Drift")
   )
)</f>
        <v>Downside Pressure</v>
      </c>
      <c r="G50" t="str">
        <f>IF(RawData!J50="","",
   IF(RawData!J50&lt;0,"Sell Into Close","Buy Into Close")
)</f>
        <v>Sell Into Close</v>
      </c>
      <c r="H50" t="e">
        <f>IF(RawData!E50="","",
   IF(ABS(RawData!E50 - RawData!D50)/RawData!D50 &lt; 0.02,"Near Call Wall","")
)</f>
        <v>#DIV/0!</v>
      </c>
      <c r="I50" t="e">
        <f>IF(RawData!F50="","",
   IF(ABS(RawData!F50 - RawData!D50)/RawData!D50 &lt; 0.02,"Near Put Wall","")
)</f>
        <v>#DIV/0!</v>
      </c>
      <c r="J50" t="str">
        <f>IF(RawData!G50="","",
   IF(RawData!G50 &lt; RawData!D50,"Below Flip","Above Flip")
)</f>
        <v>Above Flip</v>
      </c>
      <c r="K50" t="e">
        <f>IF(RawData!H50="","",
   (IF(LE[[#This Row],[GammaRegime]]="Long Gamma",10,0)) +
   (IF(RawData!K50&lt;0,10,0)) +
   (IF(AND(RawData!I50&lt;0,RawData!O50&gt;50),10,0)) +
   (IF(AND(RawData!I50&gt;0,RawData!O50&lt;50),10,0)) +
   (IF(ABS(RawData!E50 - RawData!D50)/RawData!D50 &lt; 0.02,5,0)) +
   (IF(RawData!G50&gt;RawData!D50,5,0)) +
   LE[[#This Row],[TierWeight]]
)</f>
        <v>#DIV/0!</v>
      </c>
      <c r="L50" t="e">
        <f>IF(RawData!H50="","",
   (IF(LE[[#This Row],[GammaRegime]]="Short Gamma",10,0)) +
   (IF(RawData!K50&gt;0,10,0)) +
   (IF(AND(RawData!I50&gt;0,RawData!O50&gt;50),10,0)) +
   (IF(AND(RawData!I50&lt;0,RawData!O50&lt;50),10,0)) +
   (IF(ABS(RawData!F50 - RawData!D50)/RawData!D50 &lt; 0.02,5,0)) +
   (IF(RawData!G50&lt;RawData!D50,5,0)) +
   LE[[#This Row],[TierWeight]]
)</f>
        <v>#DIV/0!</v>
      </c>
      <c r="M50" t="e">
        <f>IF(LE[[#This Row],[BullScore]]&gt;LE[[#This Row],[BearScore]],"Call",
   IF(LE[[#This Row],[BearScore]]&gt;LE[[#This Row],[BullScore]],"Put","Avoid")
)</f>
        <v>#DIV/0!</v>
      </c>
      <c r="N50" t="e">
        <f>MAX(LE[[#This Row],[BullScore]],LE[[#This Row],[BearScore]])</f>
        <v>#DIV/0!</v>
      </c>
      <c r="O5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1" spans="1:15" x14ac:dyDescent="0.25">
      <c r="A51" t="str">
        <f>RawData!A51</f>
        <v>WMT</v>
      </c>
      <c r="B51">
        <f>RawData!B51</f>
        <v>2</v>
      </c>
      <c r="C51">
        <f t="shared" si="1"/>
        <v>5</v>
      </c>
      <c r="D51" t="str">
        <f>IF(RawData!H51="","",
   IF(RawData!H51&gt;0,"Long Gamma","Short Gamma")
)</f>
        <v>Short Gamma</v>
      </c>
      <c r="E51" t="str">
        <f>IF(RawData!K51="","",
   IF(RawData!K51&gt;0,"Dealers Long (Sell Rips)","Dealers Short (Buy Rips)")
)</f>
        <v/>
      </c>
      <c r="F51" t="str">
        <f>IF(OR(RawData!I51="",RawData!O51=""),"",
   IF(RawData!I51&gt;0,
      IF(RawData!O51&gt;50,"Downside Pressure","Upside Drift"),
      IF(RawData!O51&gt;50,"Upside Pressure","Downside Drift")
   )
)</f>
        <v>Upside Drift</v>
      </c>
      <c r="G51" t="str">
        <f>IF(RawData!J51="","",
   IF(RawData!J51&lt;0,"Sell Into Close","Buy Into Close")
)</f>
        <v>Sell Into Close</v>
      </c>
      <c r="H51" t="e">
        <f>IF(RawData!E51="","",
   IF(ABS(RawData!E51 - RawData!D51)/RawData!D51 &lt; 0.02,"Near Call Wall","")
)</f>
        <v>#DIV/0!</v>
      </c>
      <c r="I51" t="e">
        <f>IF(RawData!F51="","",
   IF(ABS(RawData!F51 - RawData!D51)/RawData!D51 &lt; 0.02,"Near Put Wall","")
)</f>
        <v>#DIV/0!</v>
      </c>
      <c r="J51" t="str">
        <f>IF(RawData!G51="","",
   IF(RawData!G51 &lt; RawData!D51,"Below Flip","Above Flip")
)</f>
        <v>Above Flip</v>
      </c>
      <c r="K51" t="e">
        <f>IF(RawData!H51="","",
   (IF(LE[[#This Row],[GammaRegime]]="Long Gamma",10,0)) +
   (IF(RawData!K51&lt;0,10,0)) +
   (IF(AND(RawData!I51&lt;0,RawData!O51&gt;50),10,0)) +
   (IF(AND(RawData!I51&gt;0,RawData!O51&lt;50),10,0)) +
   (IF(ABS(RawData!E51 - RawData!D51)/RawData!D51 &lt; 0.02,5,0)) +
   (IF(RawData!G51&gt;RawData!D51,5,0)) +
   LE[[#This Row],[TierWeight]]
)</f>
        <v>#DIV/0!</v>
      </c>
      <c r="L51" t="e">
        <f>IF(RawData!H51="","",
   (IF(LE[[#This Row],[GammaRegime]]="Short Gamma",10,0)) +
   (IF(RawData!K51&gt;0,10,0)) +
   (IF(AND(RawData!I51&gt;0,RawData!O51&gt;50),10,0)) +
   (IF(AND(RawData!I51&lt;0,RawData!O51&lt;50),10,0)) +
   (IF(ABS(RawData!F51 - RawData!D51)/RawData!D51 &lt; 0.02,5,0)) +
   (IF(RawData!G51&lt;RawData!D51,5,0)) +
   LE[[#This Row],[TierWeight]]
)</f>
        <v>#DIV/0!</v>
      </c>
      <c r="M51" t="e">
        <f>IF(LE[[#This Row],[BullScore]]&gt;LE[[#This Row],[BearScore]],"Call",
   IF(LE[[#This Row],[BearScore]]&gt;LE[[#This Row],[BullScore]],"Put","Avoid")
)</f>
        <v>#DIV/0!</v>
      </c>
      <c r="N51" t="e">
        <f>MAX(LE[[#This Row],[BullScore]],LE[[#This Row],[BearScore]])</f>
        <v>#DIV/0!</v>
      </c>
      <c r="O5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2" spans="1:15" x14ac:dyDescent="0.25">
      <c r="A52" t="str">
        <f>RawData!A52</f>
        <v>MS</v>
      </c>
      <c r="B52">
        <f>RawData!B52</f>
        <v>1</v>
      </c>
      <c r="C52">
        <f t="shared" si="1"/>
        <v>10</v>
      </c>
      <c r="D52" t="str">
        <f>IF(RawData!H52="","",
   IF(RawData!H52&gt;0,"Long Gamma","Short Gamma")
)</f>
        <v>Long Gamma</v>
      </c>
      <c r="E52" t="str">
        <f>IF(RawData!K52="","",
   IF(RawData!K52&gt;0,"Dealers Long (Sell Rips)","Dealers Short (Buy Rips)")
)</f>
        <v/>
      </c>
      <c r="F52" t="str">
        <f>IF(OR(RawData!I52="",RawData!O52=""),"",
   IF(RawData!I52&gt;0,
      IF(RawData!O52&gt;50,"Downside Pressure","Upside Drift"),
      IF(RawData!O52&gt;50,"Upside Pressure","Downside Drift")
   )
)</f>
        <v>Upside Drift</v>
      </c>
      <c r="G52" t="str">
        <f>IF(RawData!J52="","",
   IF(RawData!J52&lt;0,"Sell Into Close","Buy Into Close")
)</f>
        <v>Sell Into Close</v>
      </c>
      <c r="H52" t="e">
        <f>IF(RawData!E52="","",
   IF(ABS(RawData!E52 - RawData!D52)/RawData!D52 &lt; 0.02,"Near Call Wall","")
)</f>
        <v>#DIV/0!</v>
      </c>
      <c r="I52" t="e">
        <f>IF(RawData!F52="","",
   IF(ABS(RawData!F52 - RawData!D52)/RawData!D52 &lt; 0.02,"Near Put Wall","")
)</f>
        <v>#DIV/0!</v>
      </c>
      <c r="J52" t="str">
        <f>IF(RawData!G52="","",
   IF(RawData!G52 &lt; RawData!D52,"Below Flip","Above Flip")
)</f>
        <v>Above Flip</v>
      </c>
      <c r="K52" t="e">
        <f>IF(RawData!H52="","",
   (IF(LE[[#This Row],[GammaRegime]]="Long Gamma",10,0)) +
   (IF(RawData!K52&lt;0,10,0)) +
   (IF(AND(RawData!I52&lt;0,RawData!O52&gt;50),10,0)) +
   (IF(AND(RawData!I52&gt;0,RawData!O52&lt;50),10,0)) +
   (IF(ABS(RawData!E52 - RawData!D52)/RawData!D52 &lt; 0.02,5,0)) +
   (IF(RawData!G52&gt;RawData!D52,5,0)) +
   LE[[#This Row],[TierWeight]]
)</f>
        <v>#DIV/0!</v>
      </c>
      <c r="L52" t="e">
        <f>IF(RawData!H52="","",
   (IF(LE[[#This Row],[GammaRegime]]="Short Gamma",10,0)) +
   (IF(RawData!K52&gt;0,10,0)) +
   (IF(AND(RawData!I52&gt;0,RawData!O52&gt;50),10,0)) +
   (IF(AND(RawData!I52&lt;0,RawData!O52&lt;50),10,0)) +
   (IF(ABS(RawData!F52 - RawData!D52)/RawData!D52 &lt; 0.02,5,0)) +
   (IF(RawData!G52&lt;RawData!D52,5,0)) +
   LE[[#This Row],[TierWeight]]
)</f>
        <v>#DIV/0!</v>
      </c>
      <c r="M52" t="e">
        <f>IF(LE[[#This Row],[BullScore]]&gt;LE[[#This Row],[BearScore]],"Call",
   IF(LE[[#This Row],[BearScore]]&gt;LE[[#This Row],[BullScore]],"Put","Avoid")
)</f>
        <v>#DIV/0!</v>
      </c>
      <c r="N52" t="e">
        <f>MAX(LE[[#This Row],[BullScore]],LE[[#This Row],[BearScore]])</f>
        <v>#DIV/0!</v>
      </c>
      <c r="O5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3" spans="1:15" x14ac:dyDescent="0.25">
      <c r="A53" t="str">
        <f>RawData!A53</f>
        <v>GS</v>
      </c>
      <c r="B53">
        <f>RawData!B53</f>
        <v>1</v>
      </c>
      <c r="C53">
        <f t="shared" si="1"/>
        <v>10</v>
      </c>
      <c r="D53" t="str">
        <f>IF(RawData!H53="","",
   IF(RawData!H53&gt;0,"Long Gamma","Short Gamma")
)</f>
        <v>Long Gamma</v>
      </c>
      <c r="E53" t="str">
        <f>IF(RawData!K53="","",
   IF(RawData!K53&gt;0,"Dealers Long (Sell Rips)","Dealers Short (Buy Rips)")
)</f>
        <v/>
      </c>
      <c r="F53" t="str">
        <f>IF(OR(RawData!I53="",RawData!O53=""),"",
   IF(RawData!I53&gt;0,
      IF(RawData!O53&gt;50,"Downside Pressure","Upside Drift"),
      IF(RawData!O53&gt;50,"Upside Pressure","Downside Drift")
   )
)</f>
        <v>Upside Drift</v>
      </c>
      <c r="G53" t="str">
        <f>IF(RawData!J53="","",
   IF(RawData!J53&lt;0,"Sell Into Close","Buy Into Close")
)</f>
        <v>Sell Into Close</v>
      </c>
      <c r="H53" t="e">
        <f>IF(RawData!E53="","",
   IF(ABS(RawData!E53 - RawData!D53)/RawData!D53 &lt; 0.02,"Near Call Wall","")
)</f>
        <v>#DIV/0!</v>
      </c>
      <c r="I53" t="e">
        <f>IF(RawData!F53="","",
   IF(ABS(RawData!F53 - RawData!D53)/RawData!D53 &lt; 0.02,"Near Put Wall","")
)</f>
        <v>#DIV/0!</v>
      </c>
      <c r="J53" t="str">
        <f>IF(RawData!G53="","",
   IF(RawData!G53 &lt; RawData!D53,"Below Flip","Above Flip")
)</f>
        <v>Above Flip</v>
      </c>
      <c r="K53" t="e">
        <f>IF(RawData!H53="","",
   (IF(LE[[#This Row],[GammaRegime]]="Long Gamma",10,0)) +
   (IF(RawData!K53&lt;0,10,0)) +
   (IF(AND(RawData!I53&lt;0,RawData!O53&gt;50),10,0)) +
   (IF(AND(RawData!I53&gt;0,RawData!O53&lt;50),10,0)) +
   (IF(ABS(RawData!E53 - RawData!D53)/RawData!D53 &lt; 0.02,5,0)) +
   (IF(RawData!G53&gt;RawData!D53,5,0)) +
   LE[[#This Row],[TierWeight]]
)</f>
        <v>#DIV/0!</v>
      </c>
      <c r="L53" t="e">
        <f>IF(RawData!H53="","",
   (IF(LE[[#This Row],[GammaRegime]]="Short Gamma",10,0)) +
   (IF(RawData!K53&gt;0,10,0)) +
   (IF(AND(RawData!I53&gt;0,RawData!O53&gt;50),10,0)) +
   (IF(AND(RawData!I53&lt;0,RawData!O53&lt;50),10,0)) +
   (IF(ABS(RawData!F53 - RawData!D53)/RawData!D53 &lt; 0.02,5,0)) +
   (IF(RawData!G53&lt;RawData!D53,5,0)) +
   LE[[#This Row],[TierWeight]]
)</f>
        <v>#DIV/0!</v>
      </c>
      <c r="M53" t="e">
        <f>IF(LE[[#This Row],[BullScore]]&gt;LE[[#This Row],[BearScore]],"Call",
   IF(LE[[#This Row],[BearScore]]&gt;LE[[#This Row],[BullScore]],"Put","Avoid")
)</f>
        <v>#DIV/0!</v>
      </c>
      <c r="N53" t="e">
        <f>MAX(LE[[#This Row],[BullScore]],LE[[#This Row],[BearScore]])</f>
        <v>#DIV/0!</v>
      </c>
      <c r="O5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4" spans="1:15" x14ac:dyDescent="0.25">
      <c r="A54" t="str">
        <f>RawData!A54</f>
        <v>JPM</v>
      </c>
      <c r="B54">
        <f>RawData!B54</f>
        <v>1</v>
      </c>
      <c r="C54">
        <f t="shared" si="1"/>
        <v>10</v>
      </c>
      <c r="D54" t="str">
        <f>IF(RawData!H54="","",
   IF(RawData!H54&gt;0,"Long Gamma","Short Gamma")
)</f>
        <v>Long Gamma</v>
      </c>
      <c r="E54" t="str">
        <f>IF(RawData!K54="","",
   IF(RawData!K54&gt;0,"Dealers Long (Sell Rips)","Dealers Short (Buy Rips)")
)</f>
        <v/>
      </c>
      <c r="F54" t="str">
        <f>IF(OR(RawData!I54="",RawData!O54=""),"",
   IF(RawData!I54&gt;0,
      IF(RawData!O54&gt;50,"Downside Pressure","Upside Drift"),
      IF(RawData!O54&gt;50,"Upside Pressure","Downside Drift")
   )
)</f>
        <v>Upside Drift</v>
      </c>
      <c r="G54" t="str">
        <f>IF(RawData!J54="","",
   IF(RawData!J54&lt;0,"Sell Into Close","Buy Into Close")
)</f>
        <v>Sell Into Close</v>
      </c>
      <c r="H54" t="e">
        <f>IF(RawData!E54="","",
   IF(ABS(RawData!E54 - RawData!D54)/RawData!D54 &lt; 0.02,"Near Call Wall","")
)</f>
        <v>#DIV/0!</v>
      </c>
      <c r="I54" t="e">
        <f>IF(RawData!F54="","",
   IF(ABS(RawData!F54 - RawData!D54)/RawData!D54 &lt; 0.02,"Near Put Wall","")
)</f>
        <v>#DIV/0!</v>
      </c>
      <c r="J54" t="str">
        <f>IF(RawData!G54="","",
   IF(RawData!G54 &lt; RawData!D54,"Below Flip","Above Flip")
)</f>
        <v>Above Flip</v>
      </c>
      <c r="K54" t="e">
        <f>IF(RawData!H54="","",
   (IF(LE[[#This Row],[GammaRegime]]="Long Gamma",10,0)) +
   (IF(RawData!K54&lt;0,10,0)) +
   (IF(AND(RawData!I54&lt;0,RawData!O54&gt;50),10,0)) +
   (IF(AND(RawData!I54&gt;0,RawData!O54&lt;50),10,0)) +
   (IF(ABS(RawData!E54 - RawData!D54)/RawData!D54 &lt; 0.02,5,0)) +
   (IF(RawData!G54&gt;RawData!D54,5,0)) +
   LE[[#This Row],[TierWeight]]
)</f>
        <v>#DIV/0!</v>
      </c>
      <c r="L54" t="e">
        <f>IF(RawData!H54="","",
   (IF(LE[[#This Row],[GammaRegime]]="Short Gamma",10,0)) +
   (IF(RawData!K54&gt;0,10,0)) +
   (IF(AND(RawData!I54&gt;0,RawData!O54&gt;50),10,0)) +
   (IF(AND(RawData!I54&lt;0,RawData!O54&lt;50),10,0)) +
   (IF(ABS(RawData!F54 - RawData!D54)/RawData!D54 &lt; 0.02,5,0)) +
   (IF(RawData!G54&lt;RawData!D54,5,0)) +
   LE[[#This Row],[TierWeight]]
)</f>
        <v>#DIV/0!</v>
      </c>
      <c r="M54" t="e">
        <f>IF(LE[[#This Row],[BullScore]]&gt;LE[[#This Row],[BearScore]],"Call",
   IF(LE[[#This Row],[BearScore]]&gt;LE[[#This Row],[BullScore]],"Put","Avoid")
)</f>
        <v>#DIV/0!</v>
      </c>
      <c r="N54" t="e">
        <f>MAX(LE[[#This Row],[BullScore]],LE[[#This Row],[BearScore]])</f>
        <v>#DIV/0!</v>
      </c>
      <c r="O54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5" spans="1:15" x14ac:dyDescent="0.25">
      <c r="A55" t="str">
        <f>RawData!A55</f>
        <v>BAC</v>
      </c>
      <c r="B55">
        <f>RawData!B55</f>
        <v>1</v>
      </c>
      <c r="C55">
        <f t="shared" si="1"/>
        <v>10</v>
      </c>
      <c r="D55" t="str">
        <f>IF(RawData!H55="","",
   IF(RawData!H55&gt;0,"Long Gamma","Short Gamma")
)</f>
        <v>Long Gamma</v>
      </c>
      <c r="E55" t="str">
        <f>IF(RawData!K55="","",
   IF(RawData!K55&gt;0,"Dealers Long (Sell Rips)","Dealers Short (Buy Rips)")
)</f>
        <v/>
      </c>
      <c r="F55" t="str">
        <f>IF(OR(RawData!I55="",RawData!O55=""),"",
   IF(RawData!I55&gt;0,
      IF(RawData!O55&gt;50,"Downside Pressure","Upside Drift"),
      IF(RawData!O55&gt;50,"Upside Pressure","Downside Drift")
   )
)</f>
        <v>Upside Drift</v>
      </c>
      <c r="G55" t="str">
        <f>IF(RawData!J55="","",
   IF(RawData!J55&lt;0,"Sell Into Close","Buy Into Close")
)</f>
        <v>Sell Into Close</v>
      </c>
      <c r="H55" t="e">
        <f>IF(RawData!E55="","",
   IF(ABS(RawData!E55 - RawData!D55)/RawData!D55 &lt; 0.02,"Near Call Wall","")
)</f>
        <v>#DIV/0!</v>
      </c>
      <c r="I55" t="e">
        <f>IF(RawData!F55="","",
   IF(ABS(RawData!F55 - RawData!D55)/RawData!D55 &lt; 0.02,"Near Put Wall","")
)</f>
        <v>#DIV/0!</v>
      </c>
      <c r="J55" t="str">
        <f>IF(RawData!G55="","",
   IF(RawData!G55 &lt; RawData!D55,"Below Flip","Above Flip")
)</f>
        <v>Above Flip</v>
      </c>
      <c r="K55" t="e">
        <f>IF(RawData!H55="","",
   (IF(LE[[#This Row],[GammaRegime]]="Long Gamma",10,0)) +
   (IF(RawData!K55&lt;0,10,0)) +
   (IF(AND(RawData!I55&lt;0,RawData!O55&gt;50),10,0)) +
   (IF(AND(RawData!I55&gt;0,RawData!O55&lt;50),10,0)) +
   (IF(ABS(RawData!E55 - RawData!D55)/RawData!D55 &lt; 0.02,5,0)) +
   (IF(RawData!G55&gt;RawData!D55,5,0)) +
   LE[[#This Row],[TierWeight]]
)</f>
        <v>#DIV/0!</v>
      </c>
      <c r="L55" t="e">
        <f>IF(RawData!H55="","",
   (IF(LE[[#This Row],[GammaRegime]]="Short Gamma",10,0)) +
   (IF(RawData!K55&gt;0,10,0)) +
   (IF(AND(RawData!I55&gt;0,RawData!O55&gt;50),10,0)) +
   (IF(AND(RawData!I55&lt;0,RawData!O55&lt;50),10,0)) +
   (IF(ABS(RawData!F55 - RawData!D55)/RawData!D55 &lt; 0.02,5,0)) +
   (IF(RawData!G55&lt;RawData!D55,5,0)) +
   LE[[#This Row],[TierWeight]]
)</f>
        <v>#DIV/0!</v>
      </c>
      <c r="M55" t="e">
        <f>IF(LE[[#This Row],[BullScore]]&gt;LE[[#This Row],[BearScore]],"Call",
   IF(LE[[#This Row],[BearScore]]&gt;LE[[#This Row],[BullScore]],"Put","Avoid")
)</f>
        <v>#DIV/0!</v>
      </c>
      <c r="N55" t="e">
        <f>MAX(LE[[#This Row],[BullScore]],LE[[#This Row],[BearScore]])</f>
        <v>#DIV/0!</v>
      </c>
      <c r="O55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6" spans="1:15" x14ac:dyDescent="0.25">
      <c r="A56" t="str">
        <f>RawData!A56</f>
        <v>SCHW</v>
      </c>
      <c r="B56">
        <f>RawData!B56</f>
        <v>2</v>
      </c>
      <c r="C56">
        <f t="shared" si="1"/>
        <v>5</v>
      </c>
      <c r="D56" t="str">
        <f>IF(RawData!H56="","",
   IF(RawData!H56&gt;0,"Long Gamma","Short Gamma")
)</f>
        <v>Short Gamma</v>
      </c>
      <c r="E56" t="str">
        <f>IF(RawData!K56="","",
   IF(RawData!K56&gt;0,"Dealers Long (Sell Rips)","Dealers Short (Buy Rips)")
)</f>
        <v/>
      </c>
      <c r="F56" t="str">
        <f>IF(OR(RawData!I56="",RawData!O56=""),"",
   IF(RawData!I56&gt;0,
      IF(RawData!O56&gt;50,"Downside Pressure","Upside Drift"),
      IF(RawData!O56&gt;50,"Upside Pressure","Downside Drift")
   )
)</f>
        <v>Upside Drift</v>
      </c>
      <c r="G56" t="str">
        <f>IF(RawData!J56="","",
   IF(RawData!J56&lt;0,"Sell Into Close","Buy Into Close")
)</f>
        <v>Sell Into Close</v>
      </c>
      <c r="H56" t="e">
        <f>IF(RawData!E56="","",
   IF(ABS(RawData!E56 - RawData!D56)/RawData!D56 &lt; 0.02,"Near Call Wall","")
)</f>
        <v>#DIV/0!</v>
      </c>
      <c r="I56" t="e">
        <f>IF(RawData!F56="","",
   IF(ABS(RawData!F56 - RawData!D56)/RawData!D56 &lt; 0.02,"Near Put Wall","")
)</f>
        <v>#DIV/0!</v>
      </c>
      <c r="J56" t="str">
        <f>IF(RawData!G56="","",
   IF(RawData!G56 &lt; RawData!D56,"Below Flip","Above Flip")
)</f>
        <v>Above Flip</v>
      </c>
      <c r="K56" t="e">
        <f>IF(RawData!H56="","",
   (IF(LE[[#This Row],[GammaRegime]]="Long Gamma",10,0)) +
   (IF(RawData!K56&lt;0,10,0)) +
   (IF(AND(RawData!I56&lt;0,RawData!O56&gt;50),10,0)) +
   (IF(AND(RawData!I56&gt;0,RawData!O56&lt;50),10,0)) +
   (IF(ABS(RawData!E56 - RawData!D56)/RawData!D56 &lt; 0.02,5,0)) +
   (IF(RawData!G56&gt;RawData!D56,5,0)) +
   LE[[#This Row],[TierWeight]]
)</f>
        <v>#DIV/0!</v>
      </c>
      <c r="L56" t="e">
        <f>IF(RawData!H56="","",
   (IF(LE[[#This Row],[GammaRegime]]="Short Gamma",10,0)) +
   (IF(RawData!K56&gt;0,10,0)) +
   (IF(AND(RawData!I56&gt;0,RawData!O56&gt;50),10,0)) +
   (IF(AND(RawData!I56&lt;0,RawData!O56&lt;50),10,0)) +
   (IF(ABS(RawData!F56 - RawData!D56)/RawData!D56 &lt; 0.02,5,0)) +
   (IF(RawData!G56&lt;RawData!D56,5,0)) +
   LE[[#This Row],[TierWeight]]
)</f>
        <v>#DIV/0!</v>
      </c>
      <c r="M56" t="e">
        <f>IF(LE[[#This Row],[BullScore]]&gt;LE[[#This Row],[BearScore]],"Call",
   IF(LE[[#This Row],[BearScore]]&gt;LE[[#This Row],[BullScore]],"Put","Avoid")
)</f>
        <v>#DIV/0!</v>
      </c>
      <c r="N56" t="e">
        <f>MAX(LE[[#This Row],[BullScore]],LE[[#This Row],[BearScore]])</f>
        <v>#DIV/0!</v>
      </c>
      <c r="O56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7" spans="1:15" x14ac:dyDescent="0.25">
      <c r="A57" t="str">
        <f>RawData!A57</f>
        <v>SOFI</v>
      </c>
      <c r="B57">
        <f>RawData!B57</f>
        <v>2</v>
      </c>
      <c r="C57">
        <f t="shared" si="1"/>
        <v>5</v>
      </c>
      <c r="D57" t="str">
        <f>IF(RawData!H57="","",
   IF(RawData!H57&gt;0,"Long Gamma","Short Gamma")
)</f>
        <v>Long Gamma</v>
      </c>
      <c r="E57" t="str">
        <f>IF(RawData!K57="","",
   IF(RawData!K57&gt;0,"Dealers Long (Sell Rips)","Dealers Short (Buy Rips)")
)</f>
        <v/>
      </c>
      <c r="F57" t="str">
        <f>IF(OR(RawData!I57="",RawData!O57=""),"",
   IF(RawData!I57&gt;0,
      IF(RawData!O57&gt;50,"Downside Pressure","Upside Drift"),
      IF(RawData!O57&gt;50,"Upside Pressure","Downside Drift")
   )
)</f>
        <v>Upside Drift</v>
      </c>
      <c r="G57" t="str">
        <f>IF(RawData!J57="","",
   IF(RawData!J57&lt;0,"Sell Into Close","Buy Into Close")
)</f>
        <v>Sell Into Close</v>
      </c>
      <c r="H57" t="e">
        <f>IF(RawData!E57="","",
   IF(ABS(RawData!E57 - RawData!D57)/RawData!D57 &lt; 0.02,"Near Call Wall","")
)</f>
        <v>#DIV/0!</v>
      </c>
      <c r="I57" t="e">
        <f>IF(RawData!F57="","",
   IF(ABS(RawData!F57 - RawData!D57)/RawData!D57 &lt; 0.02,"Near Put Wall","")
)</f>
        <v>#DIV/0!</v>
      </c>
      <c r="J57" t="str">
        <f>IF(RawData!G57="","",
   IF(RawData!G57 &lt; RawData!D57,"Below Flip","Above Flip")
)</f>
        <v>Above Flip</v>
      </c>
      <c r="K57" t="e">
        <f>IF(RawData!H57="","",
   (IF(LE[[#This Row],[GammaRegime]]="Long Gamma",10,0)) +
   (IF(RawData!K57&lt;0,10,0)) +
   (IF(AND(RawData!I57&lt;0,RawData!O57&gt;50),10,0)) +
   (IF(AND(RawData!I57&gt;0,RawData!O57&lt;50),10,0)) +
   (IF(ABS(RawData!E57 - RawData!D57)/RawData!D57 &lt; 0.02,5,0)) +
   (IF(RawData!G57&gt;RawData!D57,5,0)) +
   LE[[#This Row],[TierWeight]]
)</f>
        <v>#DIV/0!</v>
      </c>
      <c r="L57" t="e">
        <f>IF(RawData!H57="","",
   (IF(LE[[#This Row],[GammaRegime]]="Short Gamma",10,0)) +
   (IF(RawData!K57&gt;0,10,0)) +
   (IF(AND(RawData!I57&gt;0,RawData!O57&gt;50),10,0)) +
   (IF(AND(RawData!I57&lt;0,RawData!O57&lt;50),10,0)) +
   (IF(ABS(RawData!F57 - RawData!D57)/RawData!D57 &lt; 0.02,5,0)) +
   (IF(RawData!G57&lt;RawData!D57,5,0)) +
   LE[[#This Row],[TierWeight]]
)</f>
        <v>#DIV/0!</v>
      </c>
      <c r="M57" t="e">
        <f>IF(LE[[#This Row],[BullScore]]&gt;LE[[#This Row],[BearScore]],"Call",
   IF(LE[[#This Row],[BearScore]]&gt;LE[[#This Row],[BullScore]],"Put","Avoid")
)</f>
        <v>#DIV/0!</v>
      </c>
      <c r="N57" t="e">
        <f>MAX(LE[[#This Row],[BullScore]],LE[[#This Row],[BearScore]])</f>
        <v>#DIV/0!</v>
      </c>
      <c r="O57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8" spans="1:15" x14ac:dyDescent="0.25">
      <c r="A58" t="str">
        <f>RawData!A58</f>
        <v>WFC</v>
      </c>
      <c r="B58">
        <f>RawData!B58</f>
        <v>1</v>
      </c>
      <c r="C58">
        <f t="shared" si="1"/>
        <v>10</v>
      </c>
      <c r="D58" t="str">
        <f>IF(RawData!H58="","",
   IF(RawData!H58&gt;0,"Long Gamma","Short Gamma")
)</f>
        <v>Short Gamma</v>
      </c>
      <c r="E58" t="str">
        <f>IF(RawData!K58="","",
   IF(RawData!K58&gt;0,"Dealers Long (Sell Rips)","Dealers Short (Buy Rips)")
)</f>
        <v/>
      </c>
      <c r="F58" t="str">
        <f>IF(OR(RawData!I58="",RawData!O58=""),"",
   IF(RawData!I58&gt;0,
      IF(RawData!O58&gt;50,"Downside Pressure","Upside Drift"),
      IF(RawData!O58&gt;50,"Upside Pressure","Downside Drift")
   )
)</f>
        <v>Upside Drift</v>
      </c>
      <c r="G58" t="str">
        <f>IF(RawData!J58="","",
   IF(RawData!J58&lt;0,"Sell Into Close","Buy Into Close")
)</f>
        <v>Sell Into Close</v>
      </c>
      <c r="H58" t="e">
        <f>IF(RawData!E58="","",
   IF(ABS(RawData!E58 - RawData!D58)/RawData!D58 &lt; 0.02,"Near Call Wall","")
)</f>
        <v>#DIV/0!</v>
      </c>
      <c r="I58" t="e">
        <f>IF(RawData!F58="","",
   IF(ABS(RawData!F58 - RawData!D58)/RawData!D58 &lt; 0.02,"Near Put Wall","")
)</f>
        <v>#DIV/0!</v>
      </c>
      <c r="J58" t="str">
        <f>IF(RawData!G58="","",
   IF(RawData!G58 &lt; RawData!D58,"Below Flip","Above Flip")
)</f>
        <v>Above Flip</v>
      </c>
      <c r="K58" t="e">
        <f>IF(RawData!H58="","",
   (IF(LE[[#This Row],[GammaRegime]]="Long Gamma",10,0)) +
   (IF(RawData!K58&lt;0,10,0)) +
   (IF(AND(RawData!I58&lt;0,RawData!O58&gt;50),10,0)) +
   (IF(AND(RawData!I58&gt;0,RawData!O58&lt;50),10,0)) +
   (IF(ABS(RawData!E58 - RawData!D58)/RawData!D58 &lt; 0.02,5,0)) +
   (IF(RawData!G58&gt;RawData!D58,5,0)) +
   LE[[#This Row],[TierWeight]]
)</f>
        <v>#DIV/0!</v>
      </c>
      <c r="L58" t="e">
        <f>IF(RawData!H58="","",
   (IF(LE[[#This Row],[GammaRegime]]="Short Gamma",10,0)) +
   (IF(RawData!K58&gt;0,10,0)) +
   (IF(AND(RawData!I58&gt;0,RawData!O58&gt;50),10,0)) +
   (IF(AND(RawData!I58&lt;0,RawData!O58&lt;50),10,0)) +
   (IF(ABS(RawData!F58 - RawData!D58)/RawData!D58 &lt; 0.02,5,0)) +
   (IF(RawData!G58&lt;RawData!D58,5,0)) +
   LE[[#This Row],[TierWeight]]
)</f>
        <v>#DIV/0!</v>
      </c>
      <c r="M58" t="e">
        <f>IF(LE[[#This Row],[BullScore]]&gt;LE[[#This Row],[BearScore]],"Call",
   IF(LE[[#This Row],[BearScore]]&gt;LE[[#This Row],[BullScore]],"Put","Avoid")
)</f>
        <v>#DIV/0!</v>
      </c>
      <c r="N58" t="e">
        <f>MAX(LE[[#This Row],[BullScore]],LE[[#This Row],[BearScore]])</f>
        <v>#DIV/0!</v>
      </c>
      <c r="O58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59" spans="1:15" x14ac:dyDescent="0.25">
      <c r="A59" t="str">
        <f>RawData!A59</f>
        <v>RIVN</v>
      </c>
      <c r="B59">
        <f>RawData!B59</f>
        <v>2</v>
      </c>
      <c r="C59">
        <f t="shared" si="1"/>
        <v>5</v>
      </c>
      <c r="D59" t="str">
        <f>IF(RawData!H59="","",
   IF(RawData!H59&gt;0,"Long Gamma","Short Gamma")
)</f>
        <v>Long Gamma</v>
      </c>
      <c r="E59" t="str">
        <f>IF(RawData!K59="","",
   IF(RawData!K59&gt;0,"Dealers Long (Sell Rips)","Dealers Short (Buy Rips)")
)</f>
        <v/>
      </c>
      <c r="F59" t="str">
        <f>IF(OR(RawData!I59="",RawData!O59=""),"",
   IF(RawData!I59&gt;0,
      IF(RawData!O59&gt;50,"Downside Pressure","Upside Drift"),
      IF(RawData!O59&gt;50,"Upside Pressure","Downside Drift")
   )
)</f>
        <v>Upside Drift</v>
      </c>
      <c r="G59" t="str">
        <f>IF(RawData!J59="","",
   IF(RawData!J59&lt;0,"Sell Into Close","Buy Into Close")
)</f>
        <v>Sell Into Close</v>
      </c>
      <c r="H59" t="e">
        <f>IF(RawData!E59="","",
   IF(ABS(RawData!E59 - RawData!D59)/RawData!D59 &lt; 0.02,"Near Call Wall","")
)</f>
        <v>#DIV/0!</v>
      </c>
      <c r="I59" t="e">
        <f>IF(RawData!F59="","",
   IF(ABS(RawData!F59 - RawData!D59)/RawData!D59 &lt; 0.02,"Near Put Wall","")
)</f>
        <v>#DIV/0!</v>
      </c>
      <c r="J59" t="str">
        <f>IF(RawData!G59="","",
   IF(RawData!G59 &lt; RawData!D59,"Below Flip","Above Flip")
)</f>
        <v>Above Flip</v>
      </c>
      <c r="K59" t="e">
        <f>IF(RawData!H59="","",
   (IF(LE[[#This Row],[GammaRegime]]="Long Gamma",10,0)) +
   (IF(RawData!K59&lt;0,10,0)) +
   (IF(AND(RawData!I59&lt;0,RawData!O59&gt;50),10,0)) +
   (IF(AND(RawData!I59&gt;0,RawData!O59&lt;50),10,0)) +
   (IF(ABS(RawData!E59 - RawData!D59)/RawData!D59 &lt; 0.02,5,0)) +
   (IF(RawData!G59&gt;RawData!D59,5,0)) +
   LE[[#This Row],[TierWeight]]
)</f>
        <v>#DIV/0!</v>
      </c>
      <c r="L59" t="e">
        <f>IF(RawData!H59="","",
   (IF(LE[[#This Row],[GammaRegime]]="Short Gamma",10,0)) +
   (IF(RawData!K59&gt;0,10,0)) +
   (IF(AND(RawData!I59&gt;0,RawData!O59&gt;50),10,0)) +
   (IF(AND(RawData!I59&lt;0,RawData!O59&lt;50),10,0)) +
   (IF(ABS(RawData!F59 - RawData!D59)/RawData!D59 &lt; 0.02,5,0)) +
   (IF(RawData!G59&lt;RawData!D59,5,0)) +
   LE[[#This Row],[TierWeight]]
)</f>
        <v>#DIV/0!</v>
      </c>
      <c r="M59" t="e">
        <f>IF(LE[[#This Row],[BullScore]]&gt;LE[[#This Row],[BearScore]],"Call",
   IF(LE[[#This Row],[BearScore]]&gt;LE[[#This Row],[BullScore]],"Put","Avoid")
)</f>
        <v>#DIV/0!</v>
      </c>
      <c r="N59" t="e">
        <f>MAX(LE[[#This Row],[BullScore]],LE[[#This Row],[BearScore]])</f>
        <v>#DIV/0!</v>
      </c>
      <c r="O59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60" spans="1:15" x14ac:dyDescent="0.25">
      <c r="A60" t="str">
        <f>RawData!A60</f>
        <v>XLF</v>
      </c>
      <c r="B60">
        <f>RawData!B60</f>
        <v>1</v>
      </c>
      <c r="C60">
        <f t="shared" si="1"/>
        <v>10</v>
      </c>
      <c r="D60" t="str">
        <f>IF(RawData!H60="","",
   IF(RawData!H60&gt;0,"Long Gamma","Short Gamma")
)</f>
        <v>Short Gamma</v>
      </c>
      <c r="E60" t="str">
        <f>IF(RawData!K60="","",
   IF(RawData!K60&gt;0,"Dealers Long (Sell Rips)","Dealers Short (Buy Rips)")
)</f>
        <v/>
      </c>
      <c r="F60" t="str">
        <f>IF(OR(RawData!I60="",RawData!O60=""),"",
   IF(RawData!I60&gt;0,
      IF(RawData!O60&gt;50,"Downside Pressure","Upside Drift"),
      IF(RawData!O60&gt;50,"Upside Pressure","Downside Drift")
   )
)</f>
        <v>Upside Drift</v>
      </c>
      <c r="G60" t="str">
        <f>IF(RawData!J60="","",
   IF(RawData!J60&lt;0,"Sell Into Close","Buy Into Close")
)</f>
        <v>Sell Into Close</v>
      </c>
      <c r="H60" t="e">
        <f>IF(RawData!E60="","",
   IF(ABS(RawData!E60 - RawData!D60)/RawData!D60 &lt; 0.02,"Near Call Wall","")
)</f>
        <v>#DIV/0!</v>
      </c>
      <c r="I60" t="e">
        <f>IF(RawData!F60="","",
   IF(ABS(RawData!F60 - RawData!D60)/RawData!D60 &lt; 0.02,"Near Put Wall","")
)</f>
        <v>#DIV/0!</v>
      </c>
      <c r="J60" t="str">
        <f>IF(RawData!G60="","",
   IF(RawData!G60 &lt; RawData!D60,"Below Flip","Above Flip")
)</f>
        <v>Above Flip</v>
      </c>
      <c r="K60" t="e">
        <f>IF(RawData!H60="","",
   (IF(LE[[#This Row],[GammaRegime]]="Long Gamma",10,0)) +
   (IF(RawData!K60&lt;0,10,0)) +
   (IF(AND(RawData!I60&lt;0,RawData!O60&gt;50),10,0)) +
   (IF(AND(RawData!I60&gt;0,RawData!O60&lt;50),10,0)) +
   (IF(ABS(RawData!E60 - RawData!D60)/RawData!D60 &lt; 0.02,5,0)) +
   (IF(RawData!G60&gt;RawData!D60,5,0)) +
   LE[[#This Row],[TierWeight]]
)</f>
        <v>#DIV/0!</v>
      </c>
      <c r="L60" t="e">
        <f>IF(RawData!H60="","",
   (IF(LE[[#This Row],[GammaRegime]]="Short Gamma",10,0)) +
   (IF(RawData!K60&gt;0,10,0)) +
   (IF(AND(RawData!I60&gt;0,RawData!O60&gt;50),10,0)) +
   (IF(AND(RawData!I60&lt;0,RawData!O60&lt;50),10,0)) +
   (IF(ABS(RawData!F60 - RawData!D60)/RawData!D60 &lt; 0.02,5,0)) +
   (IF(RawData!G60&lt;RawData!D60,5,0)) +
   LE[[#This Row],[TierWeight]]
)</f>
        <v>#DIV/0!</v>
      </c>
      <c r="M60" t="e">
        <f>IF(LE[[#This Row],[BullScore]]&gt;LE[[#This Row],[BearScore]],"Call",
   IF(LE[[#This Row],[BearScore]]&gt;LE[[#This Row],[BullScore]],"Put","Avoid")
)</f>
        <v>#DIV/0!</v>
      </c>
      <c r="N60" t="e">
        <f>MAX(LE[[#This Row],[BullScore]],LE[[#This Row],[BearScore]])</f>
        <v>#DIV/0!</v>
      </c>
      <c r="O60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  <row r="61" spans="1:15" x14ac:dyDescent="0.25">
      <c r="A61" t="e">
        <f>RawData!#REF!</f>
        <v>#REF!</v>
      </c>
      <c r="B61" t="e">
        <f>RawData!#REF!</f>
        <v>#REF!</v>
      </c>
      <c r="C61" t="e">
        <f t="shared" si="1"/>
        <v>#REF!</v>
      </c>
      <c r="D61" t="e">
        <f>IF(RawData!#REF!="","",
   IF(RawData!#REF!&gt;0,"Long Gamma","Short Gamma")
)</f>
        <v>#REF!</v>
      </c>
      <c r="E61" t="e">
        <f>IF(RawData!#REF!="","",
   IF(RawData!#REF!&gt;0,"Dealers Long (Sell Rips)","Dealers Short (Buy Rips)")
)</f>
        <v>#REF!</v>
      </c>
      <c r="F61" t="e">
        <f>IF(OR(RawData!#REF!="",RawData!#REF!=""),"",
   IF(RawData!#REF!&gt;0,
      IF(RawData!#REF!&gt;50,"Downside Pressure","Upside Drift"),
      IF(RawData!#REF!&gt;50,"Upside Pressure","Downside Drift")
   )
)</f>
        <v>#REF!</v>
      </c>
      <c r="G61" t="e">
        <f>IF(RawData!#REF!="","",
   IF(RawData!#REF!&lt;0,"Sell Into Close","Buy Into Close")
)</f>
        <v>#REF!</v>
      </c>
      <c r="H61" t="e">
        <f>IF(RawData!#REF!="","",
   IF(ABS(RawData!#REF! - RawData!#REF!)/RawData!#REF! &lt; 0.02,"Near Call Wall","")
)</f>
        <v>#REF!</v>
      </c>
      <c r="I61" t="e">
        <f>IF(RawData!#REF!="","",
   IF(ABS(RawData!#REF! - RawData!#REF!)/RawData!#REF! &lt; 0.02,"Near Put Wall","")
)</f>
        <v>#REF!</v>
      </c>
      <c r="J61" t="e">
        <f>IF(RawData!#REF!="","",
   IF(RawData!#REF! &lt; RawData!#REF!,"Below Flip","Above Flip")
)</f>
        <v>#REF!</v>
      </c>
      <c r="K61" t="e">
        <f>IF(RawData!#REF!="","",
   (IF(LE[[#This Row],[GammaRegime]]="Long Gamma",10,0)) +
   (IF(RawData!#REF!&lt;0,10,0)) +
   (IF(AND(RawData!#REF!&lt;0,RawData!#REF!&gt;50),10,0)) +
   (IF(AND(RawData!#REF!&gt;0,RawData!#REF!&lt;50),10,0)) +
   (IF(ABS(RawData!#REF! - RawData!#REF!)/RawData!#REF! &lt; 0.02,5,0)) +
   (IF(RawData!#REF!&gt;RawData!#REF!,5,0)) +
   LE[[#This Row],[TierWeight]]
)</f>
        <v>#REF!</v>
      </c>
      <c r="L61" t="e">
        <f>IF(RawData!#REF!="","",
   (IF(LE[[#This Row],[GammaRegime]]="Short Gamma",10,0)) +
   (IF(RawData!#REF!&gt;0,10,0)) +
   (IF(AND(RawData!#REF!&gt;0,RawData!#REF!&gt;50),10,0)) +
   (IF(AND(RawData!#REF!&lt;0,RawData!#REF!&lt;50),10,0)) +
   (IF(ABS(RawData!#REF! - RawData!#REF!)/RawData!#REF! &lt; 0.02,5,0)) +
   (IF(RawData!#REF!&lt;RawData!#REF!,5,0)) +
   LE[[#This Row],[TierWeight]]
)</f>
        <v>#REF!</v>
      </c>
      <c r="M61" t="e">
        <f>IF(LE[[#This Row],[BullScore]]&gt;LE[[#This Row],[BearScore]],"Call",
   IF(LE[[#This Row],[BearScore]]&gt;LE[[#This Row],[BullScore]],"Put","Avoid")
)</f>
        <v>#REF!</v>
      </c>
      <c r="N61" t="e">
        <f>MAX(LE[[#This Row],[BullScore]],LE[[#This Row],[BearScore]])</f>
        <v>#REF!</v>
      </c>
      <c r="O61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#REF!</v>
      </c>
    </row>
    <row r="62" spans="1:15" x14ac:dyDescent="0.25">
      <c r="A62" t="e">
        <f>RawData!#REF!</f>
        <v>#REF!</v>
      </c>
      <c r="B62" t="e">
        <f>RawData!#REF!</f>
        <v>#REF!</v>
      </c>
      <c r="C62" t="e">
        <f t="shared" si="1"/>
        <v>#REF!</v>
      </c>
      <c r="D62" t="e">
        <f>IF(RawData!#REF!="","",
   IF(RawData!#REF!&gt;0,"Long Gamma","Short Gamma")
)</f>
        <v>#REF!</v>
      </c>
      <c r="E62" t="e">
        <f>IF(RawData!#REF!="","",
   IF(RawData!#REF!&gt;0,"Dealers Long (Sell Rips)","Dealers Short (Buy Rips)")
)</f>
        <v>#REF!</v>
      </c>
      <c r="F62" t="e">
        <f>IF(OR(RawData!#REF!="",RawData!#REF!=""),"",
   IF(RawData!#REF!&gt;0,
      IF(RawData!#REF!&gt;50,"Downside Pressure","Upside Drift"),
      IF(RawData!#REF!&gt;50,"Upside Pressure","Downside Drift")
   )
)</f>
        <v>#REF!</v>
      </c>
      <c r="G62" t="e">
        <f>IF(RawData!#REF!="","",
   IF(RawData!#REF!&lt;0,"Sell Into Close","Buy Into Close")
)</f>
        <v>#REF!</v>
      </c>
      <c r="H62" t="e">
        <f>IF(RawData!#REF!="","",
   IF(ABS(RawData!#REF! - RawData!#REF!)/RawData!#REF! &lt; 0.02,"Near Call Wall","")
)</f>
        <v>#REF!</v>
      </c>
      <c r="I62" t="e">
        <f>IF(RawData!#REF!="","",
   IF(ABS(RawData!#REF! - RawData!#REF!)/RawData!#REF! &lt; 0.02,"Near Put Wall","")
)</f>
        <v>#REF!</v>
      </c>
      <c r="J62" t="e">
        <f>IF(RawData!#REF!="","",
   IF(RawData!#REF! &lt; RawData!#REF!,"Below Flip","Above Flip")
)</f>
        <v>#REF!</v>
      </c>
      <c r="K62" t="e">
        <f>IF(RawData!#REF!="","",
   (IF(LE[[#This Row],[GammaRegime]]="Long Gamma",10,0)) +
   (IF(RawData!#REF!&lt;0,10,0)) +
   (IF(AND(RawData!#REF!&lt;0,RawData!#REF!&gt;50),10,0)) +
   (IF(AND(RawData!#REF!&gt;0,RawData!#REF!&lt;50),10,0)) +
   (IF(ABS(RawData!#REF! - RawData!#REF!)/RawData!#REF! &lt; 0.02,5,0)) +
   (IF(RawData!#REF!&gt;RawData!#REF!,5,0)) +
   LE[[#This Row],[TierWeight]]
)</f>
        <v>#REF!</v>
      </c>
      <c r="L62" t="e">
        <f>IF(RawData!#REF!="","",
   (IF(LE[[#This Row],[GammaRegime]]="Short Gamma",10,0)) +
   (IF(RawData!#REF!&gt;0,10,0)) +
   (IF(AND(RawData!#REF!&gt;0,RawData!#REF!&gt;50),10,0)) +
   (IF(AND(RawData!#REF!&lt;0,RawData!#REF!&lt;50),10,0)) +
   (IF(ABS(RawData!#REF! - RawData!#REF!)/RawData!#REF! &lt; 0.02,5,0)) +
   (IF(RawData!#REF!&lt;RawData!#REF!,5,0)) +
   LE[[#This Row],[TierWeight]]
)</f>
        <v>#REF!</v>
      </c>
      <c r="M62" t="e">
        <f>IF(LE[[#This Row],[BullScore]]&gt;LE[[#This Row],[BearScore]],"Call",
   IF(LE[[#This Row],[BearScore]]&gt;LE[[#This Row],[BullScore]],"Put","Avoid")
)</f>
        <v>#REF!</v>
      </c>
      <c r="N62" t="e">
        <f>MAX(LE[[#This Row],[BullScore]],LE[[#This Row],[BearScore]])</f>
        <v>#REF!</v>
      </c>
      <c r="O62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#REF!</v>
      </c>
    </row>
    <row r="63" spans="1:15" x14ac:dyDescent="0.25">
      <c r="A63" t="str">
        <f>RawData!A61</f>
        <v>XLK</v>
      </c>
      <c r="B63">
        <f>RawData!B61</f>
        <v>1</v>
      </c>
      <c r="C63">
        <f t="shared" si="1"/>
        <v>10</v>
      </c>
      <c r="D63" t="str">
        <f>IF(RawData!H61="","",
   IF(RawData!H61&gt;0,"Long Gamma","Short Gamma")
)</f>
        <v>Short Gamma</v>
      </c>
      <c r="E63" t="str">
        <f>IF(RawData!K61="","",
   IF(RawData!K61&gt;0,"Dealers Long (Sell Rips)","Dealers Short (Buy Rips)")
)</f>
        <v/>
      </c>
      <c r="F63" t="str">
        <f>IF(OR(RawData!I61="",RawData!O61=""),"",
   IF(RawData!I61&gt;0,
      IF(RawData!O61&gt;50,"Downside Pressure","Upside Drift"),
      IF(RawData!O61&gt;50,"Upside Pressure","Downside Drift")
   )
)</f>
        <v>Downside Pressure</v>
      </c>
      <c r="G63" t="str">
        <f>IF(RawData!J61="","",
   IF(RawData!J61&lt;0,"Sell Into Close","Buy Into Close")
)</f>
        <v>Sell Into Close</v>
      </c>
      <c r="H63" t="e">
        <f>IF(RawData!E61="","",
   IF(ABS(RawData!E61 - RawData!D61)/RawData!D61 &lt; 0.02,"Near Call Wall","")
)</f>
        <v>#DIV/0!</v>
      </c>
      <c r="I63" t="e">
        <f>IF(RawData!F61="","",
   IF(ABS(RawData!F61 - RawData!D61)/RawData!D61 &lt; 0.02,"Near Put Wall","")
)</f>
        <v>#DIV/0!</v>
      </c>
      <c r="J63" t="str">
        <f>IF(RawData!G61="","",
   IF(RawData!G61 &lt; RawData!D61,"Below Flip","Above Flip")
)</f>
        <v>Above Flip</v>
      </c>
      <c r="K63" t="e">
        <f>IF(RawData!H61="","",
   (IF(LE[[#This Row],[GammaRegime]]="Long Gamma",10,0)) +
   (IF(RawData!K61&lt;0,10,0)) +
   (IF(AND(RawData!I61&lt;0,RawData!O61&gt;50),10,0)) +
   (IF(AND(RawData!I61&gt;0,RawData!O61&lt;50),10,0)) +
   (IF(ABS(RawData!E61 - RawData!D61)/RawData!D61 &lt; 0.02,5,0)) +
   (IF(RawData!G61&gt;RawData!D61,5,0)) +
   LE[[#This Row],[TierWeight]]
)</f>
        <v>#DIV/0!</v>
      </c>
      <c r="L63" t="e">
        <f>IF(RawData!H61="","",
   (IF(LE[[#This Row],[GammaRegime]]="Short Gamma",10,0)) +
   (IF(RawData!K61&gt;0,10,0)) +
   (IF(AND(RawData!I61&gt;0,RawData!O61&gt;50),10,0)) +
   (IF(AND(RawData!I61&lt;0,RawData!O61&lt;50),10,0)) +
   (IF(ABS(RawData!F61 - RawData!D61)/RawData!D61 &lt; 0.02,5,0)) +
   (IF(RawData!G61&lt;RawData!D61,5,0)) +
   LE[[#This Row],[TierWeight]]
)</f>
        <v>#DIV/0!</v>
      </c>
      <c r="M63" t="e">
        <f>IF(LE[[#This Row],[BullScore]]&gt;LE[[#This Row],[BearScore]],"Call",
   IF(LE[[#This Row],[BearScore]]&gt;LE[[#This Row],[BullScore]],"Put","Avoid")
)</f>
        <v>#DIV/0!</v>
      </c>
      <c r="N63" t="e">
        <f>MAX(LE[[#This Row],[BullScore]],LE[[#This Row],[BearScore]])</f>
        <v>#DIV/0!</v>
      </c>
      <c r="O63" t="e">
        <f>IF(LE[[#This Row],[GammaRegime]]="","",
 "Bias: " &amp; LE[[#This Row],[TradeBias]] &amp;
 " | Regime: " &amp; LE[[#This Row],[GammaRegime]] &amp;
 " | Delta: " &amp; LE[[#This Row],[DeltaLean]] &amp;
 " | Vanna: " &amp; LE[[#This Row],[VannaBias]] &amp;
 " | Charm: " &amp; LE[[#This Row],[CharmBias]] &amp;
 " | Flip: " &amp; LE[[#This Row],[FlipFlag]]
)</f>
        <v>#DIV/0!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364C-32C0-4AA6-9761-FB99FECEAF42}">
  <dimension ref="A1:P57"/>
  <sheetViews>
    <sheetView zoomScaleNormal="100" workbookViewId="0">
      <selection activeCell="D8" sqref="D8"/>
    </sheetView>
  </sheetViews>
  <sheetFormatPr defaultRowHeight="15" x14ac:dyDescent="0.25"/>
  <cols>
    <col min="1" max="1" width="14" customWidth="1"/>
    <col min="2" max="2" width="20.140625" customWidth="1"/>
    <col min="3" max="3" width="16.85546875" customWidth="1"/>
    <col min="4" max="5" width="15.7109375" customWidth="1"/>
    <col min="6" max="6" width="15.5703125" customWidth="1"/>
    <col min="7" max="7" width="12.42578125" customWidth="1"/>
    <col min="8" max="8" width="10" customWidth="1"/>
    <col min="10" max="10" width="10.42578125" customWidth="1"/>
    <col min="11" max="11" width="20.140625" customWidth="1"/>
    <col min="12" max="12" width="15.140625" customWidth="1"/>
    <col min="13" max="13" width="15.7109375" customWidth="1"/>
    <col min="14" max="15" width="15.5703125" customWidth="1"/>
    <col min="16" max="16" width="10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13</v>
      </c>
      <c r="G1" t="s">
        <v>14</v>
      </c>
      <c r="J1" t="s">
        <v>0</v>
      </c>
      <c r="K1" t="s">
        <v>3</v>
      </c>
      <c r="L1" t="s">
        <v>4</v>
      </c>
      <c r="M1" t="s">
        <v>5</v>
      </c>
      <c r="N1" t="s">
        <v>6</v>
      </c>
      <c r="O1" t="s">
        <v>13</v>
      </c>
      <c r="P1" t="s">
        <v>14</v>
      </c>
    </row>
    <row r="2" spans="1:16" x14ac:dyDescent="0.25">
      <c r="A2" t="e" cm="1">
        <f t="array" ref="A2">_xlfn._xlws.SORT(
    _xlfn._xlws.FILTER(
        LE[[Ticker]:[Conviction]],
        (LE[TradeBias]="Call")*(LE[Conviction]&gt;=60)
    ),
    4, FALSE
)</f>
        <v>#DIV/0!</v>
      </c>
      <c r="J2" t="e" cm="1">
        <f t="array" ref="J2">_xlfn._xlws.SORT(
    _xlfn._xlws.FILTER(
        LE[[Ticker]:[Conviction]],
        (LE[TradeBias]="Put")*(LE[Conviction]&gt;=60)
    ),
    4, FALSE
)</f>
        <v>#DIV/0!</v>
      </c>
    </row>
    <row r="3" spans="1:16" x14ac:dyDescent="0.25">
      <c r="A3" t="e" cm="1">
        <f t="array" ref="A3">_xlfn._xlws.SORT(
    _xlfn._xlws.FILTER(
        LE[[Ticker]:[Conviction]],
        (LE[TradeBias]="Call")*(LE[Conviction]&gt;=60)
    ),
    4, FALSE
)</f>
        <v>#DIV/0!</v>
      </c>
      <c r="J3" t="e" cm="1">
        <f t="array" ref="J3">_xlfn._xlws.SORT(
    _xlfn._xlws.FILTER(
        LE[[Ticker]:[Conviction]],
        (LE[TradeBias]="Put")*(LE[Conviction]&gt;=60)
    ),
    4, FALSE
)</f>
        <v>#DIV/0!</v>
      </c>
    </row>
    <row r="4" spans="1:16" x14ac:dyDescent="0.25">
      <c r="A4" t="e" cm="1">
        <f t="array" ref="A4">_xlfn._xlws.SORT(
    _xlfn._xlws.FILTER(
        LE[[Ticker]:[Conviction]],
        (LE[TradeBias]="Call")*(LE[Conviction]&gt;=60)
    ),
    4, FALSE
)</f>
        <v>#DIV/0!</v>
      </c>
      <c r="J4" t="e" cm="1">
        <f t="array" ref="J4">_xlfn._xlws.SORT(
    _xlfn._xlws.FILTER(
        LE[[Ticker]:[Conviction]],
        (LE[TradeBias]="Put")*(LE[Conviction]&gt;=60)
    ),
    4, FALSE
)</f>
        <v>#DIV/0!</v>
      </c>
    </row>
    <row r="5" spans="1:16" x14ac:dyDescent="0.25">
      <c r="A5" t="e" cm="1">
        <f t="array" ref="A5">_xlfn._xlws.SORT(
    _xlfn._xlws.FILTER(
        LE[[Ticker]:[Conviction]],
        (LE[TradeBias]="Call")*(LE[Conviction]&gt;=60)
    ),
    4, FALSE
)</f>
        <v>#DIV/0!</v>
      </c>
      <c r="J5" t="e" cm="1">
        <f t="array" ref="J5">_xlfn._xlws.SORT(
    _xlfn._xlws.FILTER(
        LE[[Ticker]:[Conviction]],
        (LE[TradeBias]="Put")*(LE[Conviction]&gt;=60)
    ),
    4, FALSE
)</f>
        <v>#DIV/0!</v>
      </c>
    </row>
    <row r="6" spans="1:16" x14ac:dyDescent="0.25">
      <c r="A6" t="e" cm="1">
        <f t="array" ref="A6">_xlfn._xlws.SORT(
    _xlfn._xlws.FILTER(
        LE[[Ticker]:[Conviction]],
        (LE[TradeBias]="Call")*(LE[Conviction]&gt;=60)
    ),
    4, FALSE
)</f>
        <v>#DIV/0!</v>
      </c>
      <c r="J6" t="e" cm="1">
        <f t="array" ref="J6">_xlfn._xlws.SORT(
    _xlfn._xlws.FILTER(
        LE[[Ticker]:[Conviction]],
        (LE[TradeBias]="Put")*(LE[Conviction]&gt;=60)
    ),
    4, FALSE
)</f>
        <v>#DIV/0!</v>
      </c>
    </row>
    <row r="7" spans="1:16" x14ac:dyDescent="0.25">
      <c r="A7" t="e" cm="1">
        <f t="array" ref="A7">_xlfn._xlws.SORT(
    _xlfn._xlws.FILTER(
        LE[[Ticker]:[Conviction]],
        (LE[TradeBias]="Call")*(LE[Conviction]&gt;=60)
    ),
    4, FALSE
)</f>
        <v>#DIV/0!</v>
      </c>
      <c r="J7" t="e" cm="1">
        <f t="array" ref="J7">_xlfn._xlws.SORT(
    _xlfn._xlws.FILTER(
        LE[[Ticker]:[Conviction]],
        (LE[TradeBias]="Put")*(LE[Conviction]&gt;=60)
    ),
    4, FALSE
)</f>
        <v>#DIV/0!</v>
      </c>
    </row>
    <row r="8" spans="1:16" x14ac:dyDescent="0.25">
      <c r="A8" t="e" cm="1">
        <f t="array" ref="A8">_xlfn._xlws.SORT(
    _xlfn._xlws.FILTER(
        LE[[Ticker]:[Conviction]],
        (LE[TradeBias]="Call")*(LE[Conviction]&gt;=60)
    ),
    4, FALSE
)</f>
        <v>#DIV/0!</v>
      </c>
      <c r="J8" t="e" cm="1">
        <f t="array" ref="J8">_xlfn._xlws.SORT(
    _xlfn._xlws.FILTER(
        LE[[Ticker]:[Conviction]],
        (LE[TradeBias]="Put")*(LE[Conviction]&gt;=60)
    ),
    4, FALSE
)</f>
        <v>#DIV/0!</v>
      </c>
    </row>
    <row r="9" spans="1:16" x14ac:dyDescent="0.25">
      <c r="A9" t="e" cm="1">
        <f t="array" ref="A9">_xlfn._xlws.SORT(
    _xlfn._xlws.FILTER(
        LE[[Ticker]:[Conviction]],
        (LE[TradeBias]="Call")*(LE[Conviction]&gt;=60)
    ),
    4, FALSE
)</f>
        <v>#DIV/0!</v>
      </c>
      <c r="J9" t="e" cm="1">
        <f t="array" ref="J9">_xlfn._xlws.SORT(
    _xlfn._xlws.FILTER(
        LE[[Ticker]:[Conviction]],
        (LE[TradeBias]="Put")*(LE[Conviction]&gt;=60)
    ),
    4, FALSE
)</f>
        <v>#DIV/0!</v>
      </c>
    </row>
    <row r="10" spans="1:16" x14ac:dyDescent="0.25">
      <c r="A10" t="e" cm="1">
        <f t="array" ref="A10">_xlfn._xlws.SORT(
    _xlfn._xlws.FILTER(
        LE[[Ticker]:[Conviction]],
        (LE[TradeBias]="Call")*(LE[Conviction]&gt;=60)
    ),
    4, FALSE
)</f>
        <v>#DIV/0!</v>
      </c>
      <c r="J10" t="e" cm="1">
        <f t="array" ref="J10">_xlfn._xlws.SORT(
    _xlfn._xlws.FILTER(
        LE[[Ticker]:[Conviction]],
        (LE[TradeBias]="Put")*(LE[Conviction]&gt;=60)
    ),
    4, FALSE
)</f>
        <v>#DIV/0!</v>
      </c>
    </row>
    <row r="11" spans="1:16" x14ac:dyDescent="0.25">
      <c r="A11" t="e" cm="1">
        <f t="array" ref="A11">_xlfn._xlws.SORT(
    _xlfn._xlws.FILTER(
        LE[[Ticker]:[Conviction]],
        (LE[TradeBias]="Call")*(LE[Conviction]&gt;=60)
    ),
    4, FALSE
)</f>
        <v>#DIV/0!</v>
      </c>
      <c r="J11" t="e" cm="1">
        <f t="array" ref="J11">_xlfn._xlws.SORT(
    _xlfn._xlws.FILTER(
        LE[[Ticker]:[Conviction]],
        (LE[TradeBias]="Put")*(LE[Conviction]&gt;=60)
    ),
    4, FALSE
)</f>
        <v>#DIV/0!</v>
      </c>
    </row>
    <row r="14" spans="1:16" x14ac:dyDescent="0.25">
      <c r="A14" t="s">
        <v>0</v>
      </c>
      <c r="B14" t="s">
        <v>3</v>
      </c>
      <c r="C14" t="s">
        <v>2</v>
      </c>
      <c r="D14" t="s">
        <v>4</v>
      </c>
      <c r="E14" t="s">
        <v>5</v>
      </c>
      <c r="F14" t="s">
        <v>14</v>
      </c>
      <c r="J14" t="s">
        <v>0</v>
      </c>
      <c r="K14" t="s">
        <v>3</v>
      </c>
      <c r="L14" t="s">
        <v>4</v>
      </c>
      <c r="M14" t="s">
        <v>5</v>
      </c>
      <c r="N14" t="s">
        <v>6</v>
      </c>
      <c r="O14" t="s">
        <v>13</v>
      </c>
      <c r="P14" t="s">
        <v>14</v>
      </c>
    </row>
    <row r="15" spans="1:16" x14ac:dyDescent="0.25">
      <c r="A15" t="e" cm="1">
        <f t="array" ref="A15">_xlfn.TAKE(_xlfn.SORTBY(
    LE[[Ticker]:[GammaRegime]],
    ABS(RawData!D:D),
    -1
), 10)</f>
        <v>#VALUE!</v>
      </c>
      <c r="J15" t="e" cm="1">
        <f t="array" ref="J15">_xlfn._xlws.SORT(
    _xlfn._xlws.FILTER(
        LE[[Ticker]:[Notes]],
        (LE[CallWallFlag]&lt;&gt;"") + (LE[PutWallFlag]&lt;&gt;"")
    ),
    6, FALSE
)</f>
        <v>#DIV/0!</v>
      </c>
    </row>
    <row r="16" spans="1:16" x14ac:dyDescent="0.25">
      <c r="A16" t="e" cm="1">
        <f t="array" ref="A16">_xlfn.TAKE(_xlfn.SORTBY(
    LE[[Ticker]:[GammaRegime]],
    ABS(RawData!D:D),
    -1
), 10)</f>
        <v>#VALUE!</v>
      </c>
      <c r="J16" t="e" cm="1">
        <f t="array" ref="J16">_xlfn._xlws.SORT(
    _xlfn._xlws.FILTER(
        LE[[Ticker]:[Notes]],
        (LE[CallWallFlag]&lt;&gt;"") + (LE[PutWallFlag]&lt;&gt;"")
    ),
    6, FALSE
)</f>
        <v>#DIV/0!</v>
      </c>
    </row>
    <row r="17" spans="1:16" x14ac:dyDescent="0.25">
      <c r="A17" t="e" cm="1">
        <f t="array" ref="A17">_xlfn.TAKE(_xlfn.SORTBY(
    LE[[Ticker]:[GammaRegime]],
    ABS(RawData!D:D),
    -1
), 10)</f>
        <v>#VALUE!</v>
      </c>
      <c r="J17" t="e" cm="1">
        <f t="array" ref="J17">_xlfn._xlws.SORT(
    _xlfn._xlws.FILTER(
        LE[[Ticker]:[Notes]],
        (LE[CallWallFlag]&lt;&gt;"") + (LE[PutWallFlag]&lt;&gt;"")
    ),
    6, FALSE
)</f>
        <v>#DIV/0!</v>
      </c>
    </row>
    <row r="18" spans="1:16" x14ac:dyDescent="0.25">
      <c r="A18" t="e" cm="1">
        <f t="array" ref="A18">_xlfn.TAKE(_xlfn.SORTBY(
    LE[[Ticker]:[GammaRegime]],
    ABS(RawData!D:D),
    -1
), 10)</f>
        <v>#VALUE!</v>
      </c>
      <c r="J18" t="e" cm="1">
        <f t="array" ref="J18">_xlfn._xlws.SORT(
    _xlfn._xlws.FILTER(
        LE[[Ticker]:[Notes]],
        (LE[CallWallFlag]&lt;&gt;"") + (LE[PutWallFlag]&lt;&gt;"")
    ),
    6, FALSE
)</f>
        <v>#DIV/0!</v>
      </c>
    </row>
    <row r="19" spans="1:16" x14ac:dyDescent="0.25">
      <c r="A19" t="e" cm="1">
        <f t="array" ref="A19">_xlfn.TAKE(_xlfn.SORTBY(
    LE[[Ticker]:[GammaRegime]],
    ABS(RawData!D:D),
    -1
), 10)</f>
        <v>#VALUE!</v>
      </c>
      <c r="J19" t="e" cm="1">
        <f t="array" ref="J19">_xlfn._xlws.SORT(
    _xlfn._xlws.FILTER(
        LE[[Ticker]:[Notes]],
        (LE[CallWallFlag]&lt;&gt;"") + (LE[PutWallFlag]&lt;&gt;"")
    ),
    6, FALSE
)</f>
        <v>#DIV/0!</v>
      </c>
    </row>
    <row r="20" spans="1:16" x14ac:dyDescent="0.25">
      <c r="A20" t="e" cm="1">
        <f t="array" ref="A20">_xlfn.TAKE(_xlfn.SORTBY(
    LE[[Ticker]:[GammaRegime]],
    ABS(RawData!D:D),
    -1
), 10)</f>
        <v>#VALUE!</v>
      </c>
      <c r="J20" t="e" cm="1">
        <f t="array" ref="J20">_xlfn._xlws.SORT(
    _xlfn._xlws.FILTER(
        LE[[Ticker]:[Notes]],
        (LE[CallWallFlag]&lt;&gt;"") + (LE[PutWallFlag]&lt;&gt;"")
    ),
    6, FALSE
)</f>
        <v>#DIV/0!</v>
      </c>
    </row>
    <row r="21" spans="1:16" x14ac:dyDescent="0.25">
      <c r="A21" t="e" cm="1">
        <f t="array" ref="A21">_xlfn.TAKE(_xlfn.SORTBY(
    LE[[Ticker]:[GammaRegime]],
    ABS(RawData!D:D),
    -1
), 10)</f>
        <v>#VALUE!</v>
      </c>
    </row>
    <row r="22" spans="1:16" x14ac:dyDescent="0.25">
      <c r="A22" t="e" cm="1">
        <f t="array" ref="A22">_xlfn.TAKE(_xlfn.SORTBY(
    LE[[Ticker]:[GammaRegime]],
    ABS(RawData!D:D),
    -1
), 10)</f>
        <v>#VALUE!</v>
      </c>
    </row>
    <row r="23" spans="1:16" x14ac:dyDescent="0.25">
      <c r="A23" t="e" cm="1">
        <f t="array" ref="A23">_xlfn.TAKE(_xlfn.SORTBY(
    LE[[Ticker]:[GammaRegime]],
    ABS(RawData!D:D),
    -1
), 10)</f>
        <v>#VALUE!</v>
      </c>
    </row>
    <row r="24" spans="1:16" x14ac:dyDescent="0.25">
      <c r="A24" t="e" cm="1">
        <f t="array" ref="A24">_xlfn.TAKE(_xlfn.SORTBY(
    LE[[Ticker]:[GammaRegime]],
    ABS(RawData!D:D),
    -1
), 10)</f>
        <v>#VALUE!</v>
      </c>
    </row>
    <row r="27" spans="1:16" x14ac:dyDescent="0.25">
      <c r="A27" t="s">
        <v>0</v>
      </c>
      <c r="B27" t="s">
        <v>3</v>
      </c>
      <c r="C27" t="s">
        <v>4</v>
      </c>
      <c r="D27" t="s">
        <v>5</v>
      </c>
      <c r="E27" t="s">
        <v>6</v>
      </c>
      <c r="F27" t="s">
        <v>13</v>
      </c>
      <c r="G27" t="s">
        <v>9</v>
      </c>
      <c r="H27" t="s">
        <v>14</v>
      </c>
      <c r="J27" t="s">
        <v>0</v>
      </c>
      <c r="K27" t="s">
        <v>3</v>
      </c>
      <c r="L27" t="s">
        <v>4</v>
      </c>
      <c r="M27" t="s">
        <v>5</v>
      </c>
      <c r="N27" t="s">
        <v>6</v>
      </c>
      <c r="O27" t="s">
        <v>13</v>
      </c>
      <c r="P27" t="s">
        <v>14</v>
      </c>
    </row>
    <row r="28" spans="1:16" x14ac:dyDescent="0.25">
      <c r="A28" t="e" cm="1">
        <f t="array" ref="A28">_xlfn._xlws.SORT(
    _xlfn._xlws.FILTER(
        LE[[Ticker]:[Notes]],
        LE[FlipFlag]&lt;&gt;""
    ),
    6, FALSE
)</f>
        <v>#REF!</v>
      </c>
      <c r="J28" t="e" cm="1">
        <f t="array" ref="J28">_xlfn._xlws.SORT(
    _xlfn._xlws.FILTER(
        LE[[Ticker]:[Notes]],
        (LE[CharmBias]="Buy Into Close") + (LE[CharmBias]="Sell Into Close")
    ),
    6, FALSE
)</f>
        <v>#REF!</v>
      </c>
    </row>
    <row r="29" spans="1:16" x14ac:dyDescent="0.25">
      <c r="A29" t="e" cm="1">
        <f t="array" ref="A29">_xlfn._xlws.SORT(
    _xlfn._xlws.FILTER(
        LE[[Ticker]:[Notes]],
        LE[FlipFlag]&lt;&gt;""
    ),
    6, FALSE
)</f>
        <v>#REF!</v>
      </c>
      <c r="J29" t="e" cm="1">
        <f t="array" ref="J29">_xlfn._xlws.SORT(
    _xlfn._xlws.FILTER(
        LE[[Ticker]:[Notes]],
        (LE[CharmBias]="Buy Into Close") + (LE[CharmBias]="Sell Into Close")
    ),
    6, FALSE
)</f>
        <v>#REF!</v>
      </c>
    </row>
    <row r="30" spans="1:16" x14ac:dyDescent="0.25">
      <c r="A30" t="e" cm="1">
        <f t="array" ref="A30">_xlfn._xlws.SORT(
    _xlfn._xlws.FILTER(
        LE[[Ticker]:[Notes]],
        LE[FlipFlag]&lt;&gt;""
    ),
    6, FALSE
)</f>
        <v>#REF!</v>
      </c>
      <c r="J30" t="e" cm="1">
        <f t="array" ref="J30">_xlfn._xlws.SORT(
    _xlfn._xlws.FILTER(
        LE[[Ticker]:[Notes]],
        (LE[CharmBias]="Buy Into Close") + (LE[CharmBias]="Sell Into Close")
    ),
    6, FALSE
)</f>
        <v>#REF!</v>
      </c>
    </row>
    <row r="31" spans="1:16" x14ac:dyDescent="0.25">
      <c r="A31" t="e" cm="1">
        <f t="array" ref="A31">_xlfn._xlws.SORT(
    _xlfn._xlws.FILTER(
        LE[[Ticker]:[Notes]],
        LE[FlipFlag]&lt;&gt;""
    ),
    6, FALSE
)</f>
        <v>#REF!</v>
      </c>
      <c r="J31" t="e" cm="1">
        <f t="array" ref="J31">_xlfn._xlws.SORT(
    _xlfn._xlws.FILTER(
        LE[[Ticker]:[Notes]],
        (LE[CharmBias]="Buy Into Close") + (LE[CharmBias]="Sell Into Close")
    ),
    6, FALSE
)</f>
        <v>#REF!</v>
      </c>
    </row>
    <row r="32" spans="1:16" x14ac:dyDescent="0.25">
      <c r="A32" t="e" cm="1">
        <f t="array" ref="A32">_xlfn._xlws.SORT(
    _xlfn._xlws.FILTER(
        LE[[Ticker]:[Notes]],
        LE[FlipFlag]&lt;&gt;""
    ),
    6, FALSE
)</f>
        <v>#REF!</v>
      </c>
      <c r="J32" t="e" cm="1">
        <f t="array" ref="J32">_xlfn._xlws.SORT(
    _xlfn._xlws.FILTER(
        LE[[Ticker]:[Notes]],
        (LE[CharmBias]="Buy Into Close") + (LE[CharmBias]="Sell Into Close")
    ),
    6, FALSE
)</f>
        <v>#REF!</v>
      </c>
    </row>
    <row r="33" spans="1:10" x14ac:dyDescent="0.25">
      <c r="A33" t="e" cm="1">
        <f t="array" ref="A33">_xlfn._xlws.SORT(
    _xlfn._xlws.FILTER(
        LE[[Ticker]:[Notes]],
        LE[FlipFlag]&lt;&gt;""
    ),
    6, FALSE
)</f>
        <v>#REF!</v>
      </c>
      <c r="J33" t="e" cm="1">
        <f t="array" ref="J33">_xlfn._xlws.SORT(
    _xlfn._xlws.FILTER(
        LE[[Ticker]:[Notes]],
        (LE[CharmBias]="Buy Into Close") + (LE[CharmBias]="Sell Into Close")
    ),
    6, FALSE
)</f>
        <v>#REF!</v>
      </c>
    </row>
    <row r="56" spans="1:7" x14ac:dyDescent="0.25">
      <c r="A56" t="s">
        <v>0</v>
      </c>
      <c r="B56" t="s">
        <v>3</v>
      </c>
      <c r="C56" t="s">
        <v>4</v>
      </c>
      <c r="D56" t="s">
        <v>5</v>
      </c>
      <c r="E56" t="s">
        <v>6</v>
      </c>
      <c r="F56" t="s">
        <v>13</v>
      </c>
      <c r="G56" t="s">
        <v>14</v>
      </c>
    </row>
    <row r="57" spans="1:7" x14ac:dyDescent="0.25">
      <c r="A57" t="e" cm="1">
        <f t="array" ref="A57">_xlfn._xlws.SORT(
    _xlfn._xlws.FILTER(
        LE[[Ticker]:[Notes]],
        (LE[CharmBias]="Buy Into Close") + (LE[CharmBias]="Sell Into Close")
    ),
    6, FALSE
)</f>
        <v>#REF!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69B32-774F-498F-B0E3-51345FCFC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Universe</vt:lpstr>
      <vt:lpstr>RawData</vt:lpstr>
      <vt:lpstr>LogicEngine</vt:lpstr>
      <vt:lpstr>Dashboard</vt:lpstr>
      <vt:lpstr>NearKeyWalls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Pointek</dc:creator>
  <cp:lastModifiedBy>Michael Pointek</cp:lastModifiedBy>
  <dcterms:created xsi:type="dcterms:W3CDTF">2026-05-22T20:29:23Z</dcterms:created>
  <dcterms:modified xsi:type="dcterms:W3CDTF">2026-05-26T04:52:42Z</dcterms:modified>
</cp:coreProperties>
</file>