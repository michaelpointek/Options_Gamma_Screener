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011701ea9f27640/Documents/GitHub/Options_Gamma_Screener/"/>
    </mc:Choice>
  </mc:AlternateContent>
  <xr:revisionPtr revIDLastSave="280" documentId="8_{FFB46624-C80C-4860-B258-A548FA9D2533}" xr6:coauthVersionLast="47" xr6:coauthVersionMax="47" xr10:uidLastSave="{9B859DCE-0519-4005-9428-889B26895FDE}"/>
  <bookViews>
    <workbookView xWindow="-28920" yWindow="-120" windowWidth="29040" windowHeight="15720" activeTab="2" xr2:uid="{F32BFD2D-F4C7-4991-BB67-199267CF7C3E}"/>
  </bookViews>
  <sheets>
    <sheet name="Universe" sheetId="4" r:id="rId1"/>
    <sheet name="RawData" sheetId="1" r:id="rId2"/>
    <sheet name="LogicEngine" sheetId="2" r:id="rId3"/>
    <sheet name="Dashboard" sheetId="3" r:id="rId4"/>
    <sheet name="Dashboard2" sheetId="6" r:id="rId5"/>
    <sheet name="Sheet1" sheetId="5" r:id="rId6"/>
  </sheets>
  <definedNames>
    <definedName name="_xlpm.callF" hidden="1" xlm="1">#NAME?</definedName>
    <definedName name="_xlpm.callFlag" hidden="1" xlm="1">#NAME?</definedName>
    <definedName name="_xlpm.data" hidden="1" xlm="1">#NAME?</definedName>
    <definedName name="_xlpm.filtered" hidden="1" xlm="1">#NAME?</definedName>
    <definedName name="_xlpm.mask" hidden="1" xlm="1">#NAME?</definedName>
    <definedName name="_xlpm.notes" hidden="1" xlm="1">#NAME?</definedName>
    <definedName name="_xlpm.putF" hidden="1" xlm="1">#NAME?</definedName>
    <definedName name="_xlpm.putFlag" hidden="1" xlm="1">#NAME?</definedName>
    <definedName name="_xlpm.t" hidden="1" xlm="1">#NAME?</definedName>
    <definedName name="_xlpm.tickers" hidden="1" xlm="1">#NAME?</definedName>
    <definedName name="ExternalData_1" localSheetId="1" hidden="1">RawData!$A$1:$Y$61</definedName>
    <definedName name="LastRefresh">Dashboard!$H$14</definedName>
    <definedName name="NearKeyWalls">Dashboard!$N$20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O2" i="2" l="1"/>
  <c r="N2" i="2"/>
  <c r="M2" i="2"/>
  <c r="L2" i="2"/>
  <c r="K2" i="2"/>
  <c r="J2" i="2"/>
  <c r="I2" i="2"/>
  <c r="H2" i="2"/>
  <c r="G2" i="2"/>
  <c r="F2" i="2"/>
  <c r="E2" i="2"/>
  <c r="D2" i="2"/>
  <c r="C2" i="2"/>
  <c r="A1" i="6" a="1"/>
  <c r="A1" i="6" s="1"/>
  <c r="S1" i="3" a="1"/>
  <c r="S1" i="3" s="1"/>
  <c r="B20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C45" i="2" s="1"/>
  <c r="B46" i="2"/>
  <c r="B47" i="2"/>
  <c r="B48" i="2"/>
  <c r="B49" i="2"/>
  <c r="B50" i="2"/>
  <c r="B51" i="2"/>
  <c r="B52" i="2"/>
  <c r="B53" i="2"/>
  <c r="B54" i="2"/>
  <c r="B55" i="2"/>
  <c r="B56" i="2"/>
  <c r="B57" i="2"/>
  <c r="C57" i="2" s="1"/>
  <c r="B58" i="2"/>
  <c r="B59" i="2"/>
  <c r="B60" i="2"/>
  <c r="B61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J14" i="5"/>
  <c r="J15" i="5"/>
  <c r="J29" i="5"/>
  <c r="J28" i="5"/>
  <c r="J27" i="5"/>
  <c r="J23" i="5"/>
  <c r="J22" i="5"/>
  <c r="A18" i="3" a="1"/>
  <c r="A18" i="3" s="1"/>
  <c r="H14" i="3"/>
  <c r="A14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C3" i="2"/>
  <c r="C4" i="2"/>
  <c r="C5" i="2"/>
  <c r="C6" i="2"/>
  <c r="C7" i="2"/>
  <c r="C8" i="2"/>
  <c r="C9" i="2"/>
  <c r="C21" i="2"/>
  <c r="C33" i="2"/>
  <c r="A2" i="2"/>
  <c r="A3" i="2"/>
  <c r="A4" i="2"/>
  <c r="A5" i="2"/>
  <c r="A6" i="2"/>
  <c r="A7" i="2"/>
  <c r="A8" i="2"/>
  <c r="A9" i="2"/>
  <c r="A10" i="2"/>
  <c r="A11" i="2"/>
  <c r="A12" i="2"/>
  <c r="A13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J20" i="5" l="1"/>
  <c r="J13" i="5"/>
  <c r="C10" i="2"/>
  <c r="L10" i="2" s="1"/>
  <c r="C11" i="2"/>
  <c r="K11" i="2" s="1"/>
  <c r="C12" i="2"/>
  <c r="C13" i="2"/>
  <c r="C14" i="2"/>
  <c r="C15" i="2"/>
  <c r="L15" i="2" s="1"/>
  <c r="C16" i="2"/>
  <c r="C17" i="2"/>
  <c r="C18" i="2"/>
  <c r="C19" i="2"/>
  <c r="C20" i="2"/>
  <c r="K20" i="2" s="1"/>
  <c r="C22" i="2"/>
  <c r="L22" i="2" s="1"/>
  <c r="C23" i="2"/>
  <c r="C24" i="2"/>
  <c r="C25" i="2"/>
  <c r="C26" i="2"/>
  <c r="C27" i="2"/>
  <c r="C28" i="2"/>
  <c r="C29" i="2"/>
  <c r="C30" i="2"/>
  <c r="C31" i="2"/>
  <c r="C32" i="2"/>
  <c r="C34" i="2"/>
  <c r="L34" i="2" s="1"/>
  <c r="C35" i="2"/>
  <c r="K35" i="2" s="1"/>
  <c r="C36" i="2"/>
  <c r="K36" i="2" s="1"/>
  <c r="C37" i="2"/>
  <c r="C38" i="2"/>
  <c r="C39" i="2"/>
  <c r="C40" i="2"/>
  <c r="C41" i="2"/>
  <c r="K41" i="2" s="1"/>
  <c r="C42" i="2"/>
  <c r="C43" i="2"/>
  <c r="C44" i="2"/>
  <c r="K44" i="2" s="1"/>
  <c r="C46" i="2"/>
  <c r="L46" i="2" s="1"/>
  <c r="C47" i="2"/>
  <c r="K47" i="2" s="1"/>
  <c r="C48" i="2"/>
  <c r="C49" i="2"/>
  <c r="C50" i="2"/>
  <c r="C51" i="2"/>
  <c r="C52" i="2"/>
  <c r="C53" i="2"/>
  <c r="C54" i="2"/>
  <c r="C55" i="2"/>
  <c r="C56" i="2"/>
  <c r="K56" i="2" s="1"/>
  <c r="C58" i="2"/>
  <c r="L58" i="2" s="1"/>
  <c r="C59" i="2"/>
  <c r="L59" i="2" s="1"/>
  <c r="C60" i="2"/>
  <c r="C61" i="2"/>
  <c r="K33" i="2"/>
  <c r="K57" i="2"/>
  <c r="K45" i="2"/>
  <c r="K21" i="2"/>
  <c r="K9" i="2"/>
  <c r="K8" i="2"/>
  <c r="L7" i="2"/>
  <c r="L6" i="2"/>
  <c r="L5" i="2"/>
  <c r="L4" i="2"/>
  <c r="L3" i="2"/>
  <c r="L36" i="2"/>
  <c r="K7" i="2"/>
  <c r="L57" i="2"/>
  <c r="L45" i="2"/>
  <c r="L33" i="2"/>
  <c r="L21" i="2"/>
  <c r="L9" i="2"/>
  <c r="K6" i="2"/>
  <c r="L8" i="2"/>
  <c r="K5" i="2"/>
  <c r="K4" i="2"/>
  <c r="K3" i="2"/>
  <c r="K59" i="2" l="1"/>
  <c r="N59" i="2" s="1"/>
  <c r="N6" i="2"/>
  <c r="L41" i="2"/>
  <c r="N41" i="2" s="1"/>
  <c r="L47" i="2"/>
  <c r="N47" i="2" s="1"/>
  <c r="L35" i="2"/>
  <c r="N35" i="2" s="1"/>
  <c r="N5" i="2"/>
  <c r="N57" i="2"/>
  <c r="N4" i="2"/>
  <c r="L55" i="2"/>
  <c r="L43" i="2"/>
  <c r="L29" i="2"/>
  <c r="L17" i="2"/>
  <c r="L52" i="2"/>
  <c r="L40" i="2"/>
  <c r="L28" i="2"/>
  <c r="L16" i="2"/>
  <c r="L61" i="2"/>
  <c r="L51" i="2"/>
  <c r="L39" i="2"/>
  <c r="L27" i="2"/>
  <c r="L13" i="2"/>
  <c r="K55" i="2"/>
  <c r="L11" i="2"/>
  <c r="N11" i="2" s="1"/>
  <c r="L54" i="2"/>
  <c r="L31" i="2"/>
  <c r="L12" i="2"/>
  <c r="K12" i="2"/>
  <c r="K10" i="2"/>
  <c r="L19" i="2"/>
  <c r="L18" i="2"/>
  <c r="L24" i="2"/>
  <c r="K58" i="2"/>
  <c r="N58" i="2" s="1"/>
  <c r="K22" i="2"/>
  <c r="K46" i="2"/>
  <c r="M46" i="2" s="1"/>
  <c r="O46" i="2" s="1"/>
  <c r="L42" i="2"/>
  <c r="L30" i="2"/>
  <c r="L53" i="2"/>
  <c r="L50" i="2"/>
  <c r="L38" i="2"/>
  <c r="L26" i="2"/>
  <c r="L14" i="2"/>
  <c r="L49" i="2"/>
  <c r="L37" i="2"/>
  <c r="L60" i="2"/>
  <c r="L48" i="2"/>
  <c r="K43" i="2"/>
  <c r="K31" i="2"/>
  <c r="K19" i="2"/>
  <c r="M33" i="2"/>
  <c r="O33" i="2" s="1"/>
  <c r="M21" i="2"/>
  <c r="O21" i="2" s="1"/>
  <c r="K54" i="2"/>
  <c r="K42" i="2"/>
  <c r="K30" i="2"/>
  <c r="L44" i="2"/>
  <c r="N44" i="2" s="1"/>
  <c r="L20" i="2"/>
  <c r="K53" i="2"/>
  <c r="K48" i="2"/>
  <c r="K18" i="2"/>
  <c r="L56" i="2"/>
  <c r="M56" i="2" s="1"/>
  <c r="O56" i="2" s="1"/>
  <c r="L32" i="2"/>
  <c r="K17" i="2"/>
  <c r="K24" i="2"/>
  <c r="K52" i="2"/>
  <c r="K40" i="2"/>
  <c r="K16" i="2"/>
  <c r="K61" i="2"/>
  <c r="K39" i="2"/>
  <c r="K50" i="2"/>
  <c r="K38" i="2"/>
  <c r="K14" i="2"/>
  <c r="K37" i="2"/>
  <c r="K13" i="2"/>
  <c r="K60" i="2"/>
  <c r="N36" i="2"/>
  <c r="N8" i="2"/>
  <c r="N33" i="2"/>
  <c r="K15" i="2"/>
  <c r="L23" i="2"/>
  <c r="K32" i="2"/>
  <c r="K34" i="2"/>
  <c r="N34" i="2" s="1"/>
  <c r="M7" i="2"/>
  <c r="O7" i="2" s="1"/>
  <c r="K23" i="2"/>
  <c r="L25" i="2"/>
  <c r="M9" i="2"/>
  <c r="O9" i="2" s="1"/>
  <c r="K29" i="2"/>
  <c r="K28" i="2"/>
  <c r="M4" i="2"/>
  <c r="O4" i="2" s="1"/>
  <c r="K51" i="2"/>
  <c r="K27" i="2"/>
  <c r="M3" i="2"/>
  <c r="O3" i="2" s="1"/>
  <c r="K26" i="2"/>
  <c r="K49" i="2"/>
  <c r="K25" i="2"/>
  <c r="M59" i="2"/>
  <c r="O59" i="2" s="1"/>
  <c r="M47" i="2"/>
  <c r="O47" i="2" s="1"/>
  <c r="M57" i="2"/>
  <c r="O57" i="2" s="1"/>
  <c r="M45" i="2"/>
  <c r="O45" i="2" s="1"/>
  <c r="M5" i="2"/>
  <c r="O5" i="2" s="1"/>
  <c r="M6" i="2"/>
  <c r="O6" i="2" s="1"/>
  <c r="M8" i="2"/>
  <c r="O8" i="2" s="1"/>
  <c r="N3" i="2"/>
  <c r="M36" i="2"/>
  <c r="O36" i="2" s="1"/>
  <c r="N9" i="2"/>
  <c r="N7" i="2"/>
  <c r="N21" i="2"/>
  <c r="N45" i="2"/>
  <c r="M41" i="2" l="1"/>
  <c r="O41" i="2" s="1"/>
  <c r="M35" i="2"/>
  <c r="O35" i="2" s="1"/>
  <c r="N56" i="2"/>
  <c r="N31" i="2"/>
  <c r="N13" i="2"/>
  <c r="N42" i="2"/>
  <c r="N37" i="2"/>
  <c r="N60" i="2"/>
  <c r="N20" i="2"/>
  <c r="N49" i="2"/>
  <c r="M55" i="2"/>
  <c r="O55" i="2" s="1"/>
  <c r="M28" i="2"/>
  <c r="O28" i="2" s="1"/>
  <c r="N12" i="2"/>
  <c r="M27" i="2"/>
  <c r="O27" i="2" s="1"/>
  <c r="M12" i="2"/>
  <c r="O12" i="2" s="1"/>
  <c r="M11" i="2"/>
  <c r="O11" i="2" s="1"/>
  <c r="M10" i="2"/>
  <c r="O10" i="2" s="1"/>
  <c r="N55" i="2"/>
  <c r="N10" i="2"/>
  <c r="M54" i="2"/>
  <c r="O54" i="2" s="1"/>
  <c r="M48" i="2"/>
  <c r="O48" i="2" s="1"/>
  <c r="M16" i="2"/>
  <c r="O16" i="2" s="1"/>
  <c r="M61" i="2"/>
  <c r="O61" i="2" s="1"/>
  <c r="M14" i="2"/>
  <c r="O14" i="2" s="1"/>
  <c r="M37" i="2"/>
  <c r="O37" i="2" s="1"/>
  <c r="N52" i="2"/>
  <c r="M20" i="2"/>
  <c r="N61" i="2"/>
  <c r="N48" i="2"/>
  <c r="M43" i="2"/>
  <c r="O43" i="2" s="1"/>
  <c r="M19" i="2"/>
  <c r="O19" i="2" s="1"/>
  <c r="N22" i="2"/>
  <c r="M30" i="2"/>
  <c r="O30" i="2" s="1"/>
  <c r="M53" i="2"/>
  <c r="O53" i="2" s="1"/>
  <c r="M22" i="2"/>
  <c r="O22" i="2" s="1"/>
  <c r="M58" i="2"/>
  <c r="O58" i="2" s="1"/>
  <c r="M52" i="2"/>
  <c r="O52" i="2" s="1"/>
  <c r="M40" i="2"/>
  <c r="O40" i="2" s="1"/>
  <c r="M50" i="2"/>
  <c r="O50" i="2" s="1"/>
  <c r="M38" i="2"/>
  <c r="O38" i="2" s="1"/>
  <c r="M26" i="2"/>
  <c r="O26" i="2" s="1"/>
  <c r="M39" i="2"/>
  <c r="O39" i="2" s="1"/>
  <c r="N46" i="2"/>
  <c r="N18" i="2"/>
  <c r="M18" i="2"/>
  <c r="O18" i="2" s="1"/>
  <c r="M17" i="2"/>
  <c r="O17" i="2" s="1"/>
  <c r="M24" i="2"/>
  <c r="O24" i="2" s="1"/>
  <c r="M44" i="2"/>
  <c r="O44" i="2" s="1"/>
  <c r="M32" i="2"/>
  <c r="O32" i="2" s="1"/>
  <c r="N16" i="2"/>
  <c r="N38" i="2"/>
  <c r="M34" i="2"/>
  <c r="O34" i="2" s="1"/>
  <c r="N14" i="2"/>
  <c r="M31" i="2"/>
  <c r="O31" i="2" s="1"/>
  <c r="N43" i="2"/>
  <c r="M60" i="2"/>
  <c r="O60" i="2" s="1"/>
  <c r="N30" i="2"/>
  <c r="M13" i="2"/>
  <c r="O13" i="2" s="1"/>
  <c r="M42" i="2"/>
  <c r="O42" i="2" s="1"/>
  <c r="N54" i="2"/>
  <c r="N17" i="2"/>
  <c r="N19" i="2"/>
  <c r="N39" i="2"/>
  <c r="N27" i="2"/>
  <c r="N53" i="2"/>
  <c r="N50" i="2"/>
  <c r="N24" i="2"/>
  <c r="N28" i="2"/>
  <c r="N40" i="2"/>
  <c r="M15" i="2"/>
  <c r="O15" i="2" s="1"/>
  <c r="N15" i="2"/>
  <c r="N23" i="2"/>
  <c r="M23" i="2"/>
  <c r="O23" i="2" s="1"/>
  <c r="N29" i="2"/>
  <c r="M29" i="2"/>
  <c r="O29" i="2" s="1"/>
  <c r="N51" i="2"/>
  <c r="M51" i="2"/>
  <c r="O51" i="2" s="1"/>
  <c r="N25" i="2"/>
  <c r="M25" i="2"/>
  <c r="O25" i="2" s="1"/>
  <c r="M49" i="2"/>
  <c r="O49" i="2" s="1"/>
  <c r="N32" i="2"/>
  <c r="N26" i="2"/>
  <c r="O20" i="2" l="1"/>
  <c r="A4" i="3" a="1"/>
  <c r="A4" i="3" s="1"/>
  <c r="J3" i="3" a="1"/>
  <c r="J3" i="3" s="1"/>
  <c r="J4" i="3" a="1"/>
  <c r="J4" i="3" s="1"/>
  <c r="A6" i="3" a="1"/>
  <c r="A6" i="3" s="1"/>
  <c r="J5" i="3" a="1"/>
  <c r="J5" i="3" s="1"/>
  <c r="A7" i="3" a="1"/>
  <c r="A7" i="3" s="1"/>
  <c r="A5" i="3" a="1"/>
  <c r="A5" i="3" s="1"/>
  <c r="J6" i="3" a="1"/>
  <c r="J6" i="3" s="1"/>
  <c r="A8" i="3" a="1"/>
  <c r="A8" i="3" s="1"/>
  <c r="J7" i="3" a="1"/>
  <c r="J7" i="3" s="1"/>
  <c r="A9" i="3" a="1"/>
  <c r="A9" i="3" s="1"/>
  <c r="J8" i="3" a="1"/>
  <c r="J8" i="3" s="1"/>
  <c r="A10" i="3" a="1"/>
  <c r="A10" i="3" s="1"/>
  <c r="A12" i="3" a="1"/>
  <c r="A12" i="3" s="1"/>
  <c r="J9" i="3" a="1"/>
  <c r="J9" i="3" s="1"/>
  <c r="A11" i="3" a="1"/>
  <c r="A11" i="3" s="1"/>
  <c r="J10" i="3" a="1"/>
  <c r="J10" i="3" s="1"/>
  <c r="J11" i="3" a="1"/>
  <c r="J11" i="3" s="1"/>
  <c r="J12" i="3" a="1"/>
  <c r="J12" i="3" s="1"/>
  <c r="A3" i="3" a="1"/>
  <c r="A3" i="3" s="1"/>
  <c r="A34" i="3" a="1"/>
  <c r="A34" i="3" s="1"/>
  <c r="A36" i="3" a="1"/>
  <c r="A36" i="3" s="1"/>
  <c r="A35" i="3" a="1"/>
  <c r="A35" i="3" s="1"/>
  <c r="A37" i="3" a="1"/>
  <c r="A37" i="3" s="1"/>
  <c r="J32" i="3" a="1"/>
  <c r="J32" i="3" s="1"/>
  <c r="A33" i="3" a="1"/>
  <c r="A33" i="3" s="1"/>
  <c r="A32" i="3" a="1"/>
  <c r="A32" i="3" s="1"/>
  <c r="J24" i="5" l="1"/>
  <c r="J21" i="5"/>
  <c r="J42" i="3" a="1"/>
  <c r="J42" i="3" s="1"/>
  <c r="J23" i="3" a="1"/>
  <c r="J23" i="3" s="1"/>
  <c r="J21" i="3" a="1"/>
  <c r="J21" i="3" s="1"/>
  <c r="J20" i="3" a="1"/>
  <c r="J20" i="3" s="1"/>
  <c r="J22" i="3" a="1"/>
  <c r="J22" i="3" s="1"/>
  <c r="J19" i="3" a="1"/>
  <c r="J19" i="3" s="1"/>
  <c r="J35" i="3" a="1"/>
  <c r="J35" i="3" s="1"/>
  <c r="J37" i="3" a="1"/>
  <c r="J37" i="3" s="1"/>
  <c r="J33" i="3" a="1"/>
  <c r="J33" i="3" s="1"/>
  <c r="J34" i="3" a="1"/>
  <c r="J34" i="3" s="1"/>
  <c r="J36" i="3" a="1"/>
  <c r="J36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FF6BD5-5325-47D8-9658-811E7B83BF45}" keepAlive="1" name="Query - ApiKey" description="Connection to the 'ApiKey' query in the workbook." type="5" refreshedVersion="0" background="1">
    <dbPr connection="Provider=Microsoft.Mashup.OleDb.1;Data Source=$Workbook$;Location=ApiKey;Extended Properties=&quot;&quot;" command="SELECT * FROM [ApiKey]"/>
  </connection>
  <connection id="2" xr16:uid="{77012DB5-E195-4A78-A988-FE9B2D9111C2}" keepAlive="1" name="Query - fnGetTickerData" description="Connection to the 'fnGetTickerData' query in the workbook." type="5" refreshedVersion="0" background="1">
    <dbPr connection="Provider=Microsoft.Mashup.OleDb.1;Data Source=$Workbook$;Location=fnGetTickerData;Extended Properties=&quot;&quot;" command="SELECT * FROM [fnGetTickerData]"/>
  </connection>
  <connection id="3" xr16:uid="{15BA025B-8867-4706-9953-4DB29323B5EA}" keepAlive="1" name="Query - Query1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4" xr16:uid="{1E5A37E9-1BC2-488E-8469-0D4EB230EA18}" keepAlive="1" name="Query - RawData_Query" description="Connection to the 'RawData_Query' query in the workbook." type="5" refreshedVersion="8" background="1" saveData="1">
    <dbPr connection="Provider=Microsoft.Mashup.OleDb.1;Data Source=$Workbook$;Location=RawData_Query;Extended Properties=&quot;&quot;" command="SELECT * FROM [RawData_Quer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<sst xmlns="http://schemas.openxmlformats.org/spreadsheetml/2006/main" count="256" uniqueCount="121">
  <si>
    <t>Ticker</t>
  </si>
  <si>
    <t>Price</t>
  </si>
  <si>
    <t>NetGamma</t>
  </si>
  <si>
    <t>GammaRegime</t>
  </si>
  <si>
    <t>DeltaLean</t>
  </si>
  <si>
    <t>VannaBias</t>
  </si>
  <si>
    <t>CharmBias</t>
  </si>
  <si>
    <t>CallWallFlag</t>
  </si>
  <si>
    <t>PutWallFlag</t>
  </si>
  <si>
    <t>FlipFlag</t>
  </si>
  <si>
    <t>BullScore</t>
  </si>
  <si>
    <t>BearScore</t>
  </si>
  <si>
    <t>TradeBias</t>
  </si>
  <si>
    <t>Conviction</t>
  </si>
  <si>
    <t>Notes</t>
  </si>
  <si>
    <t>TierWeight</t>
  </si>
  <si>
    <t>Tier</t>
  </si>
  <si>
    <t>IWM</t>
  </si>
  <si>
    <t>SPY</t>
  </si>
  <si>
    <t>QQQ</t>
  </si>
  <si>
    <t>NFLX</t>
  </si>
  <si>
    <t>AMZN</t>
  </si>
  <si>
    <t>AAPL</t>
  </si>
  <si>
    <t>TSLA</t>
  </si>
  <si>
    <t>META</t>
  </si>
  <si>
    <t>PLTR</t>
  </si>
  <si>
    <t>GOOG</t>
  </si>
  <si>
    <t>MSFT</t>
  </si>
  <si>
    <t>NVDA</t>
  </si>
  <si>
    <t>FCX</t>
  </si>
  <si>
    <t>CCJ</t>
  </si>
  <si>
    <t>NEM</t>
  </si>
  <si>
    <t>VALE</t>
  </si>
  <si>
    <t>IBM</t>
  </si>
  <si>
    <t>CRWV</t>
  </si>
  <si>
    <t>CSCO</t>
  </si>
  <si>
    <t>PANW</t>
  </si>
  <si>
    <t>ORCL</t>
  </si>
  <si>
    <t>NET</t>
  </si>
  <si>
    <t>CRWD</t>
  </si>
  <si>
    <t>CRM</t>
  </si>
  <si>
    <t>NOW</t>
  </si>
  <si>
    <t>ADBE</t>
  </si>
  <si>
    <t>AAOI</t>
  </si>
  <si>
    <t>QCOM</t>
  </si>
  <si>
    <t>MU</t>
  </si>
  <si>
    <t>TSM</t>
  </si>
  <si>
    <t>AMAT</t>
  </si>
  <si>
    <t>AMD</t>
  </si>
  <si>
    <t>INTC</t>
  </si>
  <si>
    <t>SMCI</t>
  </si>
  <si>
    <t>AVGO</t>
  </si>
  <si>
    <t>APLD</t>
  </si>
  <si>
    <t>BE</t>
  </si>
  <si>
    <t>XLE</t>
  </si>
  <si>
    <t>RKLB</t>
  </si>
  <si>
    <t>RIOT</t>
  </si>
  <si>
    <t>COIN</t>
  </si>
  <si>
    <t>MSTR</t>
  </si>
  <si>
    <t>SNOW</t>
  </si>
  <si>
    <t>LLY</t>
  </si>
  <si>
    <t>JNJ</t>
  </si>
  <si>
    <t>UNH</t>
  </si>
  <si>
    <t>TGT</t>
  </si>
  <si>
    <t>HD</t>
  </si>
  <si>
    <t>COST</t>
  </si>
  <si>
    <t>WMT</t>
  </si>
  <si>
    <t>MS</t>
  </si>
  <si>
    <t>GS</t>
  </si>
  <si>
    <t>JPM</t>
  </si>
  <si>
    <t>BAC</t>
  </si>
  <si>
    <t>SCHW</t>
  </si>
  <si>
    <t>SOFI</t>
  </si>
  <si>
    <t>WFC</t>
  </si>
  <si>
    <t>RIVN</t>
  </si>
  <si>
    <t>XLF</t>
  </si>
  <si>
    <t>XLK</t>
  </si>
  <si>
    <t>Date</t>
  </si>
  <si>
    <t>CallWallStrike</t>
  </si>
  <si>
    <t>PutWallStrike</t>
  </si>
  <si>
    <t>FlipStrike</t>
  </si>
  <si>
    <t>NetVanna</t>
  </si>
  <si>
    <t>NetCharm</t>
  </si>
  <si>
    <t>NetDelta</t>
  </si>
  <si>
    <t>Iv</t>
  </si>
  <si>
    <t>IvLow</t>
  </si>
  <si>
    <t>IvHigh</t>
  </si>
  <si>
    <t>IvRank</t>
  </si>
  <si>
    <t>Rv</t>
  </si>
  <si>
    <t>RvLow</t>
  </si>
  <si>
    <t>RvHigh</t>
  </si>
  <si>
    <t>CallVolume</t>
  </si>
  <si>
    <t>PutVolume</t>
  </si>
  <si>
    <t>CallOiTotal</t>
  </si>
  <si>
    <t>PutOiTotal</t>
  </si>
  <si>
    <t>DominantExpiry</t>
  </si>
  <si>
    <t>DominantExpiryOi</t>
  </si>
  <si>
    <t>DominantExpiryVolume</t>
  </si>
  <si>
    <t>Last Refresh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</si>
  <si>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</si>
  <si>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</si>
  <si>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</si>
  <si>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</si>
  <si>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</si>
  <si>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</si>
  <si>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</si>
  <si>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</si>
  <si>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</si>
  <si>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</si>
  <si>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</si>
  <si>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</si>
  <si>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</si>
  <si>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</si>
  <si>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</si>
  <si>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Gamma Extremes</t>
  </si>
  <si>
    <t>Put Option Finder</t>
  </si>
  <si>
    <t>Tickers Near a Call or Put Wall</t>
  </si>
  <si>
    <t>Top Call Setups</t>
  </si>
  <si>
    <t>Tickers Near Flip</t>
  </si>
  <si>
    <t>Charm Bias</t>
  </si>
  <si>
    <t xml:space="preserve">Ticker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</si>
</sst>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0"/>
      <color theme="1"/>
      <name val="Arial Unicode MS"/>
    </font>
    <font>
      <b/>
      <sz val="10"/>
      <color theme="0"/>
      <name val="Arial Unicode M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0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8" xfId="0" applyFont="1" applyFill="1" applyBorder="1"/>
    <xf numFmtId="0" fontId="4" fillId="0" borderId="0" xfId="0" applyFont="1"/>
    <xf numFmtId="0" fontId="5" fillId="0" borderId="0" xfId="0" applyFont="1" applyAlignment="1">
      <alignment vertical="center"/>
    </xf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4" borderId="15" xfId="0" applyFill="1" applyBorder="1"/>
    <xf numFmtId="0" fontId="0" fillId="0" borderId="15" xfId="0" applyBorder="1"/>
    <xf numFmtId="0" fontId="0" fillId="0" borderId="17" xfId="0" applyBorder="1"/>
    <xf numFmtId="44" fontId="0" fillId="4" borderId="16" xfId="1" applyFont="1" applyFill="1" applyBorder="1"/>
    <xf numFmtId="44" fontId="0" fillId="0" borderId="16" xfId="1" applyFont="1" applyBorder="1"/>
    <xf numFmtId="44" fontId="0" fillId="0" borderId="18" xfId="1" applyFont="1" applyBorder="1"/>
    <xf numFmtId="44" fontId="0" fillId="4" borderId="12" xfId="1" applyFont="1" applyFill="1" applyBorder="1"/>
    <xf numFmtId="44" fontId="0" fillId="0" borderId="12" xfId="1" applyFont="1" applyBorder="1"/>
    <xf numFmtId="0" fontId="6" fillId="3" borderId="13" xfId="0" applyFont="1" applyFill="1" applyBorder="1" applyAlignment="1">
      <alignment vertical="center"/>
    </xf>
    <xf numFmtId="0" fontId="6" fillId="3" borderId="20" xfId="0" applyFont="1" applyFill="1" applyBorder="1" applyAlignment="1">
      <alignment vertical="center"/>
    </xf>
    <xf numFmtId="0" fontId="6" fillId="3" borderId="14" xfId="0" applyFont="1" applyFill="1" applyBorder="1" applyAlignment="1">
      <alignment vertical="center"/>
    </xf>
    <xf numFmtId="44" fontId="0" fillId="0" borderId="21" xfId="1" applyFont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3" borderId="11" xfId="0" applyFont="1" applyFill="1" applyBorder="1"/>
    <xf numFmtId="44" fontId="0" fillId="0" borderId="0" xfId="0" applyNumberFormat="1"/>
    <xf numFmtId="0" fontId="4" fillId="6" borderId="0" xfId="0" applyFont="1" applyFill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0" fillId="7" borderId="22" xfId="0" applyFont="1" applyFill="1" applyBorder="1"/>
    <xf numFmtId="0" fontId="0" fillId="0" borderId="22" xfId="0" applyFont="1" applyBorder="1"/>
    <xf numFmtId="0" fontId="2" fillId="5" borderId="0" xfId="0" applyFont="1" applyFill="1" applyBorder="1"/>
  </cellXfs>
  <cellStyles count="2">
    <cellStyle name="Currency" xfId="1" builtinId="4"/>
    <cellStyle name="Normal" xfId="0" builtinId="0"/>
  </cellStyles>
  <dxfs count="3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m/d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B5589425-4AFA-4049-820F-C598318E5BD5}" autoFormatId="16" applyNumberFormats="0" applyBorderFormats="0" applyFontFormats="0" applyPatternFormats="0" applyAlignmentFormats="0" applyWidthHeightFormats="0">
  <queryTableRefresh nextId="27">
    <queryTableFields count="25">
      <queryTableField id="1" name="Ticker" tableColumnId="1"/>
      <queryTableField id="2" name="Tier" tableColumnId="2"/>
      <queryTableField id="3" name="Date" tableColumnId="3"/>
      <queryTableField id="25" name="Price" tableColumnId="25"/>
      <queryTableField id="4" name="CallWallStrike" tableColumnId="4"/>
      <queryTableField id="5" name="PutWallStrike" tableColumnId="5"/>
      <queryTableField id="6" name="FlipStrike" tableColumnId="6"/>
      <queryTableField id="7" name="NetGamma" tableColumnId="7"/>
      <queryTableField id="8" name="NetVanna" tableColumnId="8"/>
      <queryTableField id="9" name="NetCharm" tableColumnId="9"/>
      <queryTableField id="10" name="NetDelta" tableColumnId="10"/>
      <queryTableField id="11" name="Iv" tableColumnId="11"/>
      <queryTableField id="12" name="IvLow" tableColumnId="12"/>
      <queryTableField id="13" name="IvHigh" tableColumnId="13"/>
      <queryTableField id="14" name="IvRank" tableColumnId="14"/>
      <queryTableField id="15" name="Rv" tableColumnId="15"/>
      <queryTableField id="16" name="RvLow" tableColumnId="16"/>
      <queryTableField id="17" name="RvHigh" tableColumnId="17"/>
      <queryTableField id="18" name="CallVolume" tableColumnId="18"/>
      <queryTableField id="19" name="PutVolume" tableColumnId="19"/>
      <queryTableField id="20" name="CallOiTotal" tableColumnId="20"/>
      <queryTableField id="21" name="PutOiTotal" tableColumnId="21"/>
      <queryTableField id="22" name="DominantExpiry" tableColumnId="22"/>
      <queryTableField id="23" name="DominantExpiryOi" tableColumnId="23"/>
      <queryTableField id="24" name="DominantExpiryVolume" tableColumnId="2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EE112D1-2DCC-4067-B315-73EB286D4033}" name="Universe" displayName="Universe" ref="A1:B61" totalsRowShown="0">
  <autoFilter ref="A1:B61" xr:uid="{6EE112D1-2DCC-4067-B315-73EB286D4033}"/>
  <tableColumns count="2">
    <tableColumn id="1" xr3:uid="{34F5F209-09D7-4074-9FDE-5F3410B7B898}" name="Ticker"/>
    <tableColumn id="2" xr3:uid="{BA34F9DA-2A1C-4829-9071-8823DD024D48}" name="Ti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CBE0CD1-D398-452B-9298-747B2282F7FC}" name="RawData_Query" displayName="RawData_Query" ref="A1:Y61" tableType="queryTable" totalsRowShown="0">
  <autoFilter ref="A1:Y61" xr:uid="{BCBE0CD1-D398-452B-9298-747B2282F7FC}"/>
  <tableColumns count="25">
    <tableColumn id="1" xr3:uid="{DCA8DC0D-5BD9-4A33-B857-291B10BCC172}" uniqueName="1" name="Ticker" queryTableFieldId="1" dataDxfId="31"/>
    <tableColumn id="2" xr3:uid="{8338D8AC-0688-48B3-BF4C-8F1793290681}" uniqueName="2" name="Tier" queryTableFieldId="2"/>
    <tableColumn id="3" xr3:uid="{124F33F3-7B97-4538-8DEB-F21325F2EA91}" uniqueName="3" name="Date" queryTableFieldId="3" dataDxfId="30"/>
    <tableColumn id="25" xr3:uid="{21A40EE9-8561-47DC-97A3-2B40B2302FED}" uniqueName="25" name="Price" queryTableFieldId="25" dataDxfId="29" dataCellStyle="Currency"/>
    <tableColumn id="4" xr3:uid="{8B11538F-F92D-4E01-ADFC-3963B27F8DB0}" uniqueName="4" name="CallWallStrike" queryTableFieldId="4" dataDxfId="28" dataCellStyle="Currency"/>
    <tableColumn id="5" xr3:uid="{62D1FB0F-6B94-4798-B3CC-4F343D480023}" uniqueName="5" name="PutWallStrike" queryTableFieldId="5" dataDxfId="27" dataCellStyle="Currency"/>
    <tableColumn id="6" xr3:uid="{57C50ABF-8628-49C4-B310-B2ABB418D4CF}" uniqueName="6" name="FlipStrike" queryTableFieldId="6" dataDxfId="26" dataCellStyle="Currency"/>
    <tableColumn id="7" xr3:uid="{135ADA93-A2D4-4B22-8749-B131FA5DE479}" uniqueName="7" name="NetGamma" queryTableFieldId="7" dataDxfId="25" dataCellStyle="Currency"/>
    <tableColumn id="8" xr3:uid="{8BD3AB9A-3AA1-4C9C-8738-A5DDF3C95DFF}" uniqueName="8" name="NetVanna" queryTableFieldId="8" dataDxfId="24" dataCellStyle="Currency"/>
    <tableColumn id="9" xr3:uid="{CEE1D147-0A5A-422E-9655-8865AEC49B10}" uniqueName="9" name="NetCharm" queryTableFieldId="9" dataDxfId="23" dataCellStyle="Currency"/>
    <tableColumn id="10" xr3:uid="{B0C9B378-7CEC-4C9B-B4C9-6330339E973C}" uniqueName="10" name="NetDelta" queryTableFieldId="10" dataCellStyle="Currency"/>
    <tableColumn id="11" xr3:uid="{11B2240E-1E6B-442A-AE81-B6588F1CB969}" uniqueName="11" name="Iv" queryTableFieldId="11"/>
    <tableColumn id="12" xr3:uid="{81076DDA-E03C-4093-847A-E3AE665158E7}" uniqueName="12" name="IvLow" queryTableFieldId="12"/>
    <tableColumn id="13" xr3:uid="{7FD64F14-3F06-4E48-9FA4-2AA584EE4C03}" uniqueName="13" name="IvHigh" queryTableFieldId="13"/>
    <tableColumn id="14" xr3:uid="{A6253B96-A195-40A2-9819-5E0EE27C86EB}" uniqueName="14" name="IvRank" queryTableFieldId="14"/>
    <tableColumn id="15" xr3:uid="{C4CF073D-8793-49F2-9BFC-9440B7246498}" uniqueName="15" name="Rv" queryTableFieldId="15"/>
    <tableColumn id="16" xr3:uid="{71DBC386-7FC6-41A1-89FC-522049A54FED}" uniqueName="16" name="RvLow" queryTableFieldId="16"/>
    <tableColumn id="17" xr3:uid="{826260AD-515A-488A-93EB-DD5499D900FC}" uniqueName="17" name="RvHigh" queryTableFieldId="17"/>
    <tableColumn id="18" xr3:uid="{1A401BAE-080A-4955-9A56-8B4DBC3BE75B}" uniqueName="18" name="CallVolume" queryTableFieldId="18"/>
    <tableColumn id="19" xr3:uid="{553B8ADE-FEF4-463F-AD0D-07033AAB04F5}" uniqueName="19" name="PutVolume" queryTableFieldId="19"/>
    <tableColumn id="20" xr3:uid="{052F4697-9EC1-472B-AF41-8215FF593214}" uniqueName="20" name="CallOiTotal" queryTableFieldId="20"/>
    <tableColumn id="21" xr3:uid="{731CAEC9-19EC-40B5-844F-05998C883563}" uniqueName="21" name="PutOiTotal" queryTableFieldId="21"/>
    <tableColumn id="22" xr3:uid="{DEB05AD4-29D6-4E17-AFC8-694A8BAFCCB8}" uniqueName="22" name="DominantExpiry" queryTableFieldId="22" dataDxfId="22"/>
    <tableColumn id="23" xr3:uid="{80F792A4-FC6A-46CC-A1A7-9277F196FF5E}" uniqueName="23" name="DominantExpiryOi" queryTableFieldId="23"/>
    <tableColumn id="24" xr3:uid="{CE7E67B6-0D9D-4B3F-A7C8-13D92F71E895}" uniqueName="24" name="DominantExpiryVolume" queryTableField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D4C0E5-8FF5-40C4-9AF8-B9701BEBD3C6}" name="LogicEngineClean" displayName="LogicEngineClean" ref="A1:O61" totalsRowShown="0" headerRowDxfId="0" dataDxfId="1" tableBorderDxfId="17">
  <autoFilter ref="A1:O61" xr:uid="{BED4C0E5-8FF5-40C4-9AF8-B9701BEBD3C6}"/>
  <tableColumns count="15">
    <tableColumn id="1" xr3:uid="{2130C716-F9BF-42D5-97C8-9360832380E7}" name="Ticker" dataDxfId="16">
      <calculatedColumnFormula>RawData!A2</calculatedColumnFormula>
    </tableColumn>
    <tableColumn id="2" xr3:uid="{A33F65ED-5718-4018-A1BE-0E9F61BAAA18}" name="Tier" dataDxfId="15">
      <calculatedColumnFormula>RawData!B2</calculatedColumnFormula>
    </tableColumn>
    <tableColumn id="3" xr3:uid="{B9E8997A-C268-4852-8617-5D6FC9AEDB1B}" name="TierWeight" dataDxfId="14">
      <calculatedColumnFormula>IF(B2=1,10,IF(B2=2,5,0))</calculatedColumnFormula>
    </tableColumn>
    <tableColumn id="4" xr3:uid="{182017D4-DF5C-453C-8989-0A3C4974D401}" name="GammaRegime" dataDxfId="13">
      <calculatedColumnFormula>IF(RawData!H2="","",
   IF(RawData!H2&gt;0,"Long Gamma","Short Gamma")
)</calculatedColumnFormula>
    </tableColumn>
    <tableColumn id="5" xr3:uid="{2F01F728-312F-44E0-B720-84795D44EA80}" name="DeltaLean" dataDxfId="12">
      <calculatedColumnFormula>IF(RawData!K2="","",
   IF(RawData!K2&gt;0,"Dealers Long (Sell Rips)","Dealers Short (Buy Rips)")
)</calculatedColumnFormula>
    </tableColumn>
    <tableColumn id="6" xr3:uid="{86D41B32-28F1-4C0E-A1CF-50285A1255C4}" name="VannaBias" dataDxfId="11">
      <calculatedColumnFormula>IF(OR(RawData!I2="",RawData!O2=""),"",
   IF(RawData!I2&gt;0,
      IF(RawData!O2&gt;50,"Downside Pressure","Upside Drift"),
      IF(RawData!O2&gt;50,"Upside Pressure","Downside Drift")
   )
)</calculatedColumnFormula>
    </tableColumn>
    <tableColumn id="7" xr3:uid="{68D8B6DD-5353-48C8-9118-1AF6E7AC204A}" name="CharmBias" dataDxfId="10">
      <calculatedColumnFormula>IF(RawData!J2="","",
   IF(RawData!J2&lt;0,"Sell Into Close","Buy Into Close")
)</calculatedColumnFormula>
    </tableColumn>
    <tableColumn id="8" xr3:uid="{CE303759-18EE-4E06-9692-555C78C48CEE}" name="CallWallFlag" dataDxfId="9">
      <calculatedColumnFormula>IF(
    RawData_Query[[#This Row],[CallWallStrike]]="",
    FALSE,
    ABS(RawData_Query[[#This Row],[CallWallStrike]] - RawData_Query[[#This Row],[Price]]) / RawData_Query[[#This Row],[Price]] &lt; 0.02
)</calculatedColumnFormula>
    </tableColumn>
    <tableColumn id="9" xr3:uid="{DB6FEC02-61D0-4418-9994-6C28103DD619}" name="PutWallFlag" dataDxfId="8">
      <calculatedColumnFormula>IF(
    RawData_Query[[#This Row],[PutWallStrike]]="",
    FALSE,
    ABS(RawData_Query[[#This Row],[PutWallStrike]] - RawData_Query[[#This Row],[Price]]) / RawData_Query[[#This Row],[Price]] &lt; 0.02
)</calculatedColumnFormula>
    </tableColumn>
    <tableColumn id="10" xr3:uid="{6E8F3C78-6A99-4603-8F47-3F3F4412AADE}" name="FlipFlag" dataDxfId="7">
      <calculatedColumnFormula>IF(RawData!G2="","",
   IF(RawData!G2 &lt; RawData!D2,"Below Flip","Above Flip")
)</calculatedColumnFormula>
    </tableColumn>
    <tableColumn id="11" xr3:uid="{1719D7CC-731F-4087-AF7D-04BF99C1900F}" name="BullScore" dataDxfId="6">
      <calculatedColumnFormula>IF(RawData!H2="","",
   (IF(LogicEngine!$D2="Long Gamma",10,0)) +
   (IF(RawData!K2&lt;0,10,0)) +
   (IF(AND(RawData!I2&lt;0,RawData!O2&gt;50),10,0)) +
   (IF(AND(RawData!I2&gt;0,RawData!O2&lt;50),10,0)) +
   (IF(ABS(RawData!E2 - RawData!D2)/RawData!D2 &lt; 0.02,5,0)) +
   (IF(RawData!G2&gt;RawData!D2,5,0)) +
   LogicEngine!$C2
)</calculatedColumnFormula>
    </tableColumn>
    <tableColumn id="12" xr3:uid="{C4B22115-DF57-41F9-A97C-B96EAAA82C54}" name="BearScore" dataDxfId="5">
      <calculatedColumnFormula>IF(RawData!H2="","",
   (IF(LogicEngine!$D2="Short Gamma",10,0)) +
   (IF(RawData!K2&gt;0,10,0)) +
   (IF(AND(RawData!I2&gt;0,RawData!O2&gt;50),10,0)) +
   (IF(AND(RawData!I2&lt;0,RawData!O2&lt;50),10,0)) +
   (IF(ABS(RawData!F2 - RawData!D2)/RawData!D2 &lt; 0.02,5,0)) +
   (IF(RawData!G2&lt;RawData!D2,5,0)) +
   LogicEngine!$C2
)</calculatedColumnFormula>
    </tableColumn>
    <tableColumn id="13" xr3:uid="{FF62C641-F111-4828-B53C-D71061E74AA0}" name="TradeBias" dataDxfId="4">
      <calculatedColumnFormula>IF(LogicEngine!$K2&gt;LogicEngine!$L2,"Call",
   IF(LogicEngine!$L2&gt;LogicEngine!$K2,"Put","Avoid")
)</calculatedColumnFormula>
    </tableColumn>
    <tableColumn id="14" xr3:uid="{E608C195-405F-4ED7-BAAE-F8E2F2731643}" name="Conviction" dataDxfId="3">
      <calculatedColumnFormula>MAX(LogicEngine!$K2,LogicEngine!$L2)</calculatedColumnFormula>
    </tableColumn>
    <tableColumn id="15" xr3:uid="{E5FB7DC2-0B75-4D2A-AA4A-7F36EBEB7AF7}" name="Notes" dataDxfId="2">
      <calculatedColumnFormula>IF(LogicEngine!$D2="","",
 "Bias: " &amp; LogicEngine!$M2 &amp;
 " | Regime: " &amp; LogicEngine!$D2 &amp;
 " | Delta: " &amp; LogicEngine!$E2 &amp;
 " | Vanna: " &amp; LogicEngine!$F2 &amp;
 " | Charm: " &amp; LogicEngine!$G2 &amp;
 " | Flip: " &amp; LogicEngine!$J2
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9CB39B-CF61-430F-85B5-1D0856D7B0A5}" name="CallSetups" displayName="CallSetups" ref="A2:G12" totalsRowShown="0">
  <autoFilter ref="A2:G12" xr:uid="{DF9CB39B-CF61-430F-85B5-1D0856D7B0A5}"/>
  <tableColumns count="7">
    <tableColumn id="1" xr3:uid="{5E73D5F0-8971-4C28-A77D-E0E1C5D4C12E}" name="Ticker" dataDxfId="21">
      <calculatedColumnFormula array="1">IFERROR(
    _xlfn._xlws.SORT(
        _xlfn._xlws.FILTER(
            LogicEngine!$A$2:$N$61,
            (LogicEngine!$M$2:$M$61="Call")*(LogicEngine!$N$2:$N$61&gt;=60)
        ),
        4, FALSE
    ),
"No Call Setups Available")</calculatedColumnFormula>
    </tableColumn>
    <tableColumn id="2" xr3:uid="{846FC6A0-1220-4D2F-BBA7-E870CED2C411}" name="GammaRegime"/>
    <tableColumn id="3" xr3:uid="{68295616-E783-48EC-AD0F-0770C2088ACA}" name="DeltaLean"/>
    <tableColumn id="4" xr3:uid="{C50D065A-071A-499F-AD5B-57CB6C3E9DB3}" name="VannaBias"/>
    <tableColumn id="5" xr3:uid="{07832B6E-8A76-448C-BB8F-DFA0A23316E2}" name="CharmBias"/>
    <tableColumn id="6" xr3:uid="{7B08A18C-63D1-4974-935A-6C9543121AE6}" name="Conviction"/>
    <tableColumn id="7" xr3:uid="{665F16B8-8EF9-4677-8DAE-F29ED905C679}" name="Notes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1D9C53-325B-4910-A0EF-C7408D0E351E}" name="PutSetups" displayName="PutSetups" ref="J2:P12" totalsRowShown="0">
  <autoFilter ref="J2:P12" xr:uid="{551D9C53-325B-4910-A0EF-C7408D0E351E}"/>
  <tableColumns count="7">
    <tableColumn id="1" xr3:uid="{199D33D7-FE4F-41A1-919E-3EC90EFFC0CF}" name="Ticker" dataDxfId="20">
      <calculatedColumnFormula array="1">IFERROR(
    _xlfn._xlws.SORT(
        _xlfn._xlws.FILTER(
            LogicEngine!$A$2:$N$61,
            (LogicEngine!$M$2:$M$61="Put")*(LogicEngine!$N$2:$N$61&gt;=60)
        ),
        4, FALSE
    ),
"No Put Setups Available")</calculatedColumnFormula>
    </tableColumn>
    <tableColumn id="2" xr3:uid="{1CC9D0DC-24F5-41AF-B63C-5FCCC8BEFD9E}" name="GammaRegime"/>
    <tableColumn id="3" xr3:uid="{A8023E8C-D606-4B35-A339-D5B791318E51}" name="DeltaLean"/>
    <tableColumn id="4" xr3:uid="{4B2198CD-D0DD-4D1E-8E04-ADE9EB789CD2}" name="VannaBias"/>
    <tableColumn id="5" xr3:uid="{EDA347B3-C2FF-4BF1-AA97-C226189F0044}" name="CharmBias"/>
    <tableColumn id="6" xr3:uid="{2AD2CB55-1638-403F-A06F-C557155EA2BE}" name="Conviction"/>
    <tableColumn id="7" xr3:uid="{65FBF9D9-DDCC-4853-84BE-45CA4E3530AD}" name="Note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D618E91-5396-4ED8-AE82-4F228660887E}" name="NearGammaFlip" displayName="NearGammaFlip" ref="A31:H37" totalsRowShown="0">
  <autoFilter ref="A31:H37" xr:uid="{AD618E91-5396-4ED8-AE82-4F228660887E}"/>
  <tableColumns count="8">
    <tableColumn id="1" xr3:uid="{5FBAD1B9-0A82-4371-B89D-D9470D4F57AF}" name="Ticker" dataDxfId="19">
      <calculatedColumnFormula array="1">IFERROR(
    _xlfn._xlws.SORT(
        _xlfn._xlws.FILTER(
            LogicEngine!$A$2:$O$61,
            LogicEngine!$J$2:$J$61&lt;&gt;""
        ),
        6, FALSE
    ),
"")</calculatedColumnFormula>
    </tableColumn>
    <tableColumn id="2" xr3:uid="{2A4D1581-54D8-4538-9EDE-FB21BBF94A62}" name="GammaRegime"/>
    <tableColumn id="3" xr3:uid="{4F49B6C4-A8D1-47BA-8D00-9AA0FB76049D}" name="DeltaLean"/>
    <tableColumn id="4" xr3:uid="{FDCB3114-6E30-4BD0-B884-4CD777A04CE7}" name="VannaBias"/>
    <tableColumn id="5" xr3:uid="{18DC3AA2-D385-449C-9C91-D5212E9A161E}" name="CharmBias"/>
    <tableColumn id="6" xr3:uid="{14A6474C-6E17-4AD9-9ADD-BDD88019A551}" name="Conviction"/>
    <tableColumn id="7" xr3:uid="{7A1ADF4B-53E9-4D0F-9B37-6EAE3E7D879E}" name="FlipFlag"/>
    <tableColumn id="8" xr3:uid="{E810B01F-D4EF-4024-ABEF-FAFCAC0CC989}" name="Notes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A50A81B-E207-435D-A5BA-1B1AFB2077C3}" name="CharmBias" displayName="CharmBias" ref="J31:P37" totalsRowShown="0">
  <autoFilter ref="J31:P37" xr:uid="{DA50A81B-E207-435D-A5BA-1B1AFB2077C3}"/>
  <tableColumns count="7">
    <tableColumn id="1" xr3:uid="{9469F2C8-FA7C-401F-B489-A003D09B28C6}" name="Ticker" dataDxfId="18">
      <calculatedColumnFormula array="1">IFERROR(
    _xlfn._xlws.SORT(
        _xlfn._xlws.FILTER(
            LogicEngine!$A$2:$O$61,
            (LogicEngine!$G$2:$G$61="Buy Into Close") + (LogicEngine!$G$2:$G$61="Sell Into Close")
        ),
        6, FALSE
    ),
"")</calculatedColumnFormula>
    </tableColumn>
    <tableColumn id="2" xr3:uid="{B8D8A761-4D83-49F5-B4AF-F775E26AADCF}" name="GammaRegime"/>
    <tableColumn id="3" xr3:uid="{346D4B8D-239A-4D42-AD33-D9D41B7E8308}" name="DeltaLean"/>
    <tableColumn id="4" xr3:uid="{63D13D56-4DA0-4E09-831D-F01FB4A83B58}" name="VannaBias"/>
    <tableColumn id="5" xr3:uid="{464B3500-BC2D-41AE-9545-5C8E268DA1AD}" name="CharmBias"/>
    <tableColumn id="6" xr3:uid="{737B69E6-1C8C-4722-83C6-AFAEDEB4CAF5}" name="Conviction"/>
    <tableColumn id="7" xr3:uid="{77374395-218C-4465-9D1C-9EDBE8B492D1}" name="Note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263F6-B545-47AF-B31E-61581C4A6BE3}">
  <sheetPr codeName="Sheet1"/>
  <dimension ref="A1:B61"/>
  <sheetViews>
    <sheetView workbookViewId="0">
      <selection activeCell="B1" sqref="A1:B1"/>
    </sheetView>
  </sheetViews>
  <sheetFormatPr defaultRowHeight="15"/>
  <sheetData>
    <row r="1" spans="1:2">
      <c r="A1" t="s">
        <v>0</v>
      </c>
      <c r="B1" t="s">
        <v>16</v>
      </c>
    </row>
    <row r="2" spans="1:2">
      <c r="A2" t="s">
        <v>17</v>
      </c>
      <c r="B2">
        <v>1</v>
      </c>
    </row>
    <row r="3" spans="1:2">
      <c r="A3" t="s">
        <v>18</v>
      </c>
      <c r="B3">
        <v>1</v>
      </c>
    </row>
    <row r="4" spans="1:2">
      <c r="A4" t="s">
        <v>19</v>
      </c>
      <c r="B4">
        <v>1</v>
      </c>
    </row>
    <row r="5" spans="1:2">
      <c r="A5" t="s">
        <v>20</v>
      </c>
      <c r="B5">
        <v>1</v>
      </c>
    </row>
    <row r="6" spans="1:2">
      <c r="A6" t="s">
        <v>21</v>
      </c>
      <c r="B6">
        <v>1</v>
      </c>
    </row>
    <row r="7" spans="1:2">
      <c r="A7" t="s">
        <v>22</v>
      </c>
      <c r="B7">
        <v>1</v>
      </c>
    </row>
    <row r="8" spans="1:2">
      <c r="A8" t="s">
        <v>23</v>
      </c>
      <c r="B8">
        <v>1</v>
      </c>
    </row>
    <row r="9" spans="1:2">
      <c r="A9" t="s">
        <v>24</v>
      </c>
      <c r="B9">
        <v>1</v>
      </c>
    </row>
    <row r="10" spans="1:2">
      <c r="A10" t="s">
        <v>25</v>
      </c>
      <c r="B10">
        <v>2</v>
      </c>
    </row>
    <row r="11" spans="1:2">
      <c r="A11" t="s">
        <v>26</v>
      </c>
      <c r="B11">
        <v>1</v>
      </c>
    </row>
    <row r="12" spans="1:2">
      <c r="A12" t="s">
        <v>27</v>
      </c>
      <c r="B12">
        <v>1</v>
      </c>
    </row>
    <row r="13" spans="1:2">
      <c r="A13" t="s">
        <v>28</v>
      </c>
      <c r="B13">
        <v>1</v>
      </c>
    </row>
    <row r="14" spans="1:2">
      <c r="A14" t="s">
        <v>29</v>
      </c>
      <c r="B14">
        <v>2</v>
      </c>
    </row>
    <row r="15" spans="1:2">
      <c r="A15" t="s">
        <v>30</v>
      </c>
      <c r="B15">
        <v>2</v>
      </c>
    </row>
    <row r="16" spans="1:2">
      <c r="A16" t="s">
        <v>31</v>
      </c>
      <c r="B16">
        <v>2</v>
      </c>
    </row>
    <row r="17" spans="1:2">
      <c r="A17" t="s">
        <v>32</v>
      </c>
      <c r="B17">
        <v>2</v>
      </c>
    </row>
    <row r="18" spans="1:2">
      <c r="A18" t="s">
        <v>33</v>
      </c>
      <c r="B18">
        <v>1</v>
      </c>
    </row>
    <row r="19" spans="1:2">
      <c r="A19" t="s">
        <v>34</v>
      </c>
      <c r="B19">
        <v>3</v>
      </c>
    </row>
    <row r="20" spans="1:2">
      <c r="A20" t="s">
        <v>35</v>
      </c>
      <c r="B20">
        <v>1</v>
      </c>
    </row>
    <row r="21" spans="1:2">
      <c r="A21" t="s">
        <v>36</v>
      </c>
      <c r="B21">
        <v>1</v>
      </c>
    </row>
    <row r="22" spans="1:2">
      <c r="A22" t="s">
        <v>37</v>
      </c>
      <c r="B22">
        <v>1</v>
      </c>
    </row>
    <row r="23" spans="1:2">
      <c r="A23" t="s">
        <v>38</v>
      </c>
      <c r="B23">
        <v>1</v>
      </c>
    </row>
    <row r="24" spans="1:2">
      <c r="A24" t="s">
        <v>39</v>
      </c>
      <c r="B24">
        <v>1</v>
      </c>
    </row>
    <row r="25" spans="1:2">
      <c r="A25" t="s">
        <v>40</v>
      </c>
      <c r="B25">
        <v>1</v>
      </c>
    </row>
    <row r="26" spans="1:2">
      <c r="A26" t="s">
        <v>41</v>
      </c>
      <c r="B26">
        <v>1</v>
      </c>
    </row>
    <row r="27" spans="1:2">
      <c r="A27" t="s">
        <v>42</v>
      </c>
      <c r="B27">
        <v>1</v>
      </c>
    </row>
    <row r="28" spans="1:2">
      <c r="A28" t="s">
        <v>43</v>
      </c>
      <c r="B28">
        <v>3</v>
      </c>
    </row>
    <row r="29" spans="1:2">
      <c r="A29" t="s">
        <v>44</v>
      </c>
      <c r="B29">
        <v>1</v>
      </c>
    </row>
    <row r="30" spans="1:2">
      <c r="A30" t="s">
        <v>45</v>
      </c>
      <c r="B30">
        <v>1</v>
      </c>
    </row>
    <row r="31" spans="1:2">
      <c r="A31" t="s">
        <v>46</v>
      </c>
      <c r="B31">
        <v>1</v>
      </c>
    </row>
    <row r="32" spans="1:2">
      <c r="A32" t="s">
        <v>47</v>
      </c>
      <c r="B32">
        <v>2</v>
      </c>
    </row>
    <row r="33" spans="1:2">
      <c r="A33" t="s">
        <v>48</v>
      </c>
      <c r="B33">
        <v>1</v>
      </c>
    </row>
    <row r="34" spans="1:2">
      <c r="A34" t="s">
        <v>49</v>
      </c>
      <c r="B34">
        <v>2</v>
      </c>
    </row>
    <row r="35" spans="1:2">
      <c r="A35" t="s">
        <v>50</v>
      </c>
      <c r="B35">
        <v>2</v>
      </c>
    </row>
    <row r="36" spans="1:2">
      <c r="A36" t="s">
        <v>51</v>
      </c>
      <c r="B36">
        <v>1</v>
      </c>
    </row>
    <row r="37" spans="1:2">
      <c r="A37" t="s">
        <v>52</v>
      </c>
      <c r="B37">
        <v>3</v>
      </c>
    </row>
    <row r="38" spans="1:2">
      <c r="A38" t="s">
        <v>53</v>
      </c>
      <c r="B38">
        <v>3</v>
      </c>
    </row>
    <row r="39" spans="1:2">
      <c r="A39" t="s">
        <v>54</v>
      </c>
      <c r="B39">
        <v>1</v>
      </c>
    </row>
    <row r="40" spans="1:2">
      <c r="A40" t="s">
        <v>55</v>
      </c>
      <c r="B40">
        <v>2</v>
      </c>
    </row>
    <row r="41" spans="1:2">
      <c r="A41" t="s">
        <v>56</v>
      </c>
      <c r="B41">
        <v>2</v>
      </c>
    </row>
    <row r="42" spans="1:2">
      <c r="A42" t="s">
        <v>57</v>
      </c>
      <c r="B42">
        <v>2</v>
      </c>
    </row>
    <row r="43" spans="1:2">
      <c r="A43" t="s">
        <v>58</v>
      </c>
      <c r="B43">
        <v>2</v>
      </c>
    </row>
    <row r="44" spans="1:2">
      <c r="A44" t="s">
        <v>59</v>
      </c>
      <c r="B44">
        <v>2</v>
      </c>
    </row>
    <row r="45" spans="1:2">
      <c r="A45" t="s">
        <v>60</v>
      </c>
      <c r="B45">
        <v>2</v>
      </c>
    </row>
    <row r="46" spans="1:2">
      <c r="A46" t="s">
        <v>61</v>
      </c>
      <c r="B46">
        <v>2</v>
      </c>
    </row>
    <row r="47" spans="1:2">
      <c r="A47" t="s">
        <v>62</v>
      </c>
      <c r="B47">
        <v>2</v>
      </c>
    </row>
    <row r="48" spans="1:2">
      <c r="A48" t="s">
        <v>63</v>
      </c>
      <c r="B48">
        <v>2</v>
      </c>
    </row>
    <row r="49" spans="1:2">
      <c r="A49" t="s">
        <v>64</v>
      </c>
      <c r="B49">
        <v>2</v>
      </c>
    </row>
    <row r="50" spans="1:2">
      <c r="A50" t="s">
        <v>65</v>
      </c>
      <c r="B50">
        <v>2</v>
      </c>
    </row>
    <row r="51" spans="1:2">
      <c r="A51" t="s">
        <v>66</v>
      </c>
      <c r="B51">
        <v>2</v>
      </c>
    </row>
    <row r="52" spans="1:2">
      <c r="A52" t="s">
        <v>67</v>
      </c>
      <c r="B52">
        <v>1</v>
      </c>
    </row>
    <row r="53" spans="1:2">
      <c r="A53" t="s">
        <v>68</v>
      </c>
      <c r="B53">
        <v>1</v>
      </c>
    </row>
    <row r="54" spans="1:2">
      <c r="A54" t="s">
        <v>69</v>
      </c>
      <c r="B54">
        <v>1</v>
      </c>
    </row>
    <row r="55" spans="1:2">
      <c r="A55" t="s">
        <v>70</v>
      </c>
      <c r="B55">
        <v>1</v>
      </c>
    </row>
    <row r="56" spans="1:2">
      <c r="A56" t="s">
        <v>71</v>
      </c>
      <c r="B56">
        <v>2</v>
      </c>
    </row>
    <row r="57" spans="1:2">
      <c r="A57" t="s">
        <v>72</v>
      </c>
      <c r="B57">
        <v>2</v>
      </c>
    </row>
    <row r="58" spans="1:2">
      <c r="A58" t="s">
        <v>73</v>
      </c>
      <c r="B58">
        <v>1</v>
      </c>
    </row>
    <row r="59" spans="1:2">
      <c r="A59" t="s">
        <v>74</v>
      </c>
      <c r="B59">
        <v>2</v>
      </c>
    </row>
    <row r="60" spans="1:2">
      <c r="A60" t="s">
        <v>75</v>
      </c>
      <c r="B60">
        <v>1</v>
      </c>
    </row>
    <row r="61" spans="1:2">
      <c r="A61" t="s">
        <v>76</v>
      </c>
      <c r="B61">
        <v>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1B583-1462-461B-960A-5EF1A6EC7CB3}">
  <sheetPr codeName="Sheet2"/>
  <dimension ref="A1:Y61"/>
  <sheetViews>
    <sheetView zoomScale="85" zoomScaleNormal="85" workbookViewId="0">
      <selection activeCell="A2" sqref="A2"/>
    </sheetView>
  </sheetViews>
  <sheetFormatPr defaultRowHeight="15"/>
  <cols>
    <col min="1" max="1" width="8.85546875" bestFit="1" customWidth="1"/>
    <col min="2" max="2" width="6.85546875" bestFit="1" customWidth="1"/>
    <col min="3" max="3" width="9.5703125" bestFit="1" customWidth="1"/>
    <col min="4" max="4" width="10.5703125" bestFit="1" customWidth="1"/>
    <col min="5" max="5" width="16.28515625" bestFit="1" customWidth="1"/>
    <col min="6" max="6" width="15.7109375" bestFit="1" customWidth="1"/>
    <col min="7" max="7" width="11.85546875" bestFit="1" customWidth="1"/>
    <col min="8" max="8" width="18.7109375" bestFit="1" customWidth="1"/>
    <col min="9" max="9" width="16.28515625" bestFit="1" customWidth="1"/>
    <col min="10" max="10" width="22.42578125" bestFit="1" customWidth="1"/>
    <col min="11" max="11" width="20" bestFit="1" customWidth="1"/>
    <col min="12" max="12" width="6.140625" bestFit="1" customWidth="1"/>
    <col min="13" max="13" width="8.5703125" bestFit="1" customWidth="1"/>
    <col min="14" max="14" width="9" bestFit="1" customWidth="1"/>
    <col min="15" max="15" width="9.42578125" bestFit="1" customWidth="1"/>
    <col min="16" max="17" width="9.28515625" bestFit="1" customWidth="1"/>
    <col min="18" max="18" width="9.7109375" bestFit="1" customWidth="1"/>
    <col min="19" max="19" width="13.7109375" bestFit="1" customWidth="1"/>
    <col min="20" max="20" width="13.140625" bestFit="1" customWidth="1"/>
    <col min="21" max="21" width="13.28515625" bestFit="1" customWidth="1"/>
    <col min="22" max="22" width="12.7109375" bestFit="1" customWidth="1"/>
    <col min="23" max="23" width="17.85546875" bestFit="1" customWidth="1"/>
    <col min="24" max="24" width="20" bestFit="1" customWidth="1"/>
    <col min="25" max="25" width="25" customWidth="1"/>
  </cols>
  <sheetData>
    <row r="1" spans="1:25">
      <c r="A1" t="s">
        <v>0</v>
      </c>
      <c r="B1" t="s">
        <v>16</v>
      </c>
      <c r="C1" t="s">
        <v>77</v>
      </c>
      <c r="D1" t="s">
        <v>1</v>
      </c>
      <c r="E1" t="s">
        <v>78</v>
      </c>
      <c r="F1" t="s">
        <v>79</v>
      </c>
      <c r="G1" t="s">
        <v>80</v>
      </c>
      <c r="H1" t="s">
        <v>2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94</v>
      </c>
      <c r="W1" t="s">
        <v>95</v>
      </c>
      <c r="X1" t="s">
        <v>96</v>
      </c>
      <c r="Y1" t="s">
        <v>97</v>
      </c>
    </row>
    <row r="2" spans="1:25">
      <c r="A2" t="s">
        <v>17</v>
      </c>
      <c r="B2">
        <v>1</v>
      </c>
      <c r="C2" s="2">
        <v>46168</v>
      </c>
      <c r="D2" s="1">
        <v>289.27499999999998</v>
      </c>
      <c r="E2" s="1">
        <v>300</v>
      </c>
      <c r="F2" s="1">
        <v>250</v>
      </c>
      <c r="G2" s="1">
        <v>85</v>
      </c>
      <c r="H2" s="1">
        <v>866581252.63999999</v>
      </c>
      <c r="I2" s="1">
        <v>51314237.950000003</v>
      </c>
      <c r="J2" s="1">
        <v>-138127598619.82001</v>
      </c>
      <c r="K2" s="1">
        <v>49512510770.459999</v>
      </c>
      <c r="L2">
        <v>0.22900000000000001</v>
      </c>
      <c r="M2">
        <v>0.16600000000000001</v>
      </c>
      <c r="N2">
        <v>0.34</v>
      </c>
      <c r="O2">
        <v>35.408299999999997</v>
      </c>
      <c r="P2">
        <v>0.204487</v>
      </c>
      <c r="Q2">
        <v>0.12523400000000001</v>
      </c>
      <c r="R2">
        <v>0.25795000000000001</v>
      </c>
      <c r="S2">
        <v>424030</v>
      </c>
      <c r="T2">
        <v>447264</v>
      </c>
      <c r="U2">
        <v>2689933</v>
      </c>
      <c r="V2">
        <v>7542730</v>
      </c>
      <c r="W2" s="2">
        <v>46191</v>
      </c>
      <c r="X2">
        <v>3030150</v>
      </c>
      <c r="Y2">
        <v>141935</v>
      </c>
    </row>
    <row r="3" spans="1:25">
      <c r="A3" t="s">
        <v>18</v>
      </c>
      <c r="B3">
        <v>1</v>
      </c>
      <c r="C3" s="2">
        <v>46168</v>
      </c>
      <c r="D3" s="1">
        <v>750.56</v>
      </c>
      <c r="E3" s="1">
        <v>800</v>
      </c>
      <c r="F3" s="1">
        <v>530</v>
      </c>
      <c r="G3" s="1">
        <v>235</v>
      </c>
      <c r="H3" s="1">
        <v>1028476522.7999997</v>
      </c>
      <c r="I3" s="1">
        <v>180353836.88999999</v>
      </c>
      <c r="J3" s="1">
        <v>-1064070711582.3699</v>
      </c>
      <c r="K3" s="1">
        <v>421753314793.82001</v>
      </c>
      <c r="L3">
        <v>0.14199999999999999</v>
      </c>
      <c r="M3">
        <v>0.11</v>
      </c>
      <c r="N3">
        <v>0.26600000000000001</v>
      </c>
      <c r="O3">
        <v>21.414899999999999</v>
      </c>
      <c r="P3">
        <v>0.102288</v>
      </c>
      <c r="Q3">
        <v>5.5587999999999999E-2</v>
      </c>
      <c r="R3">
        <v>0.20153599999999999</v>
      </c>
      <c r="S3">
        <v>1887033</v>
      </c>
      <c r="T3">
        <v>1818783</v>
      </c>
      <c r="U3">
        <v>5554323</v>
      </c>
      <c r="V3">
        <v>12397762</v>
      </c>
      <c r="W3" s="2">
        <v>46191</v>
      </c>
      <c r="X3">
        <v>3684908</v>
      </c>
      <c r="Y3">
        <v>183543</v>
      </c>
    </row>
    <row r="4" spans="1:25">
      <c r="A4" t="s">
        <v>19</v>
      </c>
      <c r="B4">
        <v>1</v>
      </c>
      <c r="C4" s="2">
        <v>46168</v>
      </c>
      <c r="D4" s="1">
        <v>728.90499999999997</v>
      </c>
      <c r="E4" s="1">
        <v>700</v>
      </c>
      <c r="F4" s="1">
        <v>600</v>
      </c>
      <c r="G4" s="1">
        <v>547</v>
      </c>
      <c r="H4" s="1">
        <v>-1218599347.24</v>
      </c>
      <c r="I4" s="1">
        <v>119920379.03999995</v>
      </c>
      <c r="J4" s="1">
        <v>-532818775748.83008</v>
      </c>
      <c r="K4" s="1">
        <v>435943657570.43005</v>
      </c>
      <c r="L4">
        <v>0.214</v>
      </c>
      <c r="M4">
        <v>0.14599999999999999</v>
      </c>
      <c r="N4">
        <v>0.29599999999999999</v>
      </c>
      <c r="O4">
        <v>46.061399999999999</v>
      </c>
      <c r="P4">
        <v>0.16409899999999999</v>
      </c>
      <c r="Q4">
        <v>6.9145999999999999E-2</v>
      </c>
      <c r="R4">
        <v>0.23716100000000001</v>
      </c>
      <c r="S4">
        <v>1307700</v>
      </c>
      <c r="T4">
        <v>1545232</v>
      </c>
      <c r="U4">
        <v>4012375</v>
      </c>
      <c r="V4">
        <v>6628939</v>
      </c>
      <c r="W4" s="2">
        <v>46191</v>
      </c>
      <c r="X4">
        <v>2723493</v>
      </c>
      <c r="Y4">
        <v>118419</v>
      </c>
    </row>
    <row r="5" spans="1:25">
      <c r="A5" t="s">
        <v>20</v>
      </c>
      <c r="B5">
        <v>1</v>
      </c>
      <c r="C5" s="2">
        <v>46168</v>
      </c>
      <c r="D5" s="1">
        <v>87.56</v>
      </c>
      <c r="E5" s="1">
        <v>100</v>
      </c>
      <c r="F5" s="1">
        <v>5</v>
      </c>
      <c r="G5" s="1">
        <v>7.5</v>
      </c>
      <c r="H5" s="1">
        <v>2028556.91</v>
      </c>
      <c r="I5" s="1">
        <v>598786.11</v>
      </c>
      <c r="J5" s="1">
        <v>-34330901.080000006</v>
      </c>
      <c r="K5" s="1">
        <v>1504516406.5500002</v>
      </c>
      <c r="L5">
        <v>0.315</v>
      </c>
      <c r="M5">
        <v>0.24399999999999999</v>
      </c>
      <c r="N5">
        <v>0.49399999999999999</v>
      </c>
      <c r="O5">
        <v>25.354399999999998</v>
      </c>
      <c r="P5">
        <v>0.24568300000000001</v>
      </c>
      <c r="Q5">
        <v>0.15029699999999999</v>
      </c>
      <c r="R5">
        <v>0.59555499999999995</v>
      </c>
      <c r="S5">
        <v>97910</v>
      </c>
      <c r="T5">
        <v>37312</v>
      </c>
      <c r="U5">
        <v>2989309</v>
      </c>
      <c r="V5">
        <v>2505812</v>
      </c>
      <c r="W5" s="2">
        <v>46402</v>
      </c>
      <c r="X5">
        <v>1389350</v>
      </c>
      <c r="Y5">
        <v>2136</v>
      </c>
    </row>
    <row r="6" spans="1:25">
      <c r="A6" t="s">
        <v>21</v>
      </c>
      <c r="B6">
        <v>1</v>
      </c>
      <c r="C6" s="2">
        <v>46168</v>
      </c>
      <c r="D6" s="1">
        <v>264.35329999999999</v>
      </c>
      <c r="E6" s="1">
        <v>275</v>
      </c>
      <c r="F6" s="1">
        <v>200</v>
      </c>
      <c r="G6" s="1">
        <v>75</v>
      </c>
      <c r="H6" s="1">
        <v>-40568454.710000016</v>
      </c>
      <c r="I6" s="1">
        <v>19201756.020000007</v>
      </c>
      <c r="J6" s="1">
        <v>-17606921755.039993</v>
      </c>
      <c r="K6" s="1">
        <v>42292834346.590004</v>
      </c>
      <c r="L6">
        <v>0.30199999999999999</v>
      </c>
      <c r="M6">
        <v>0.23200000000000001</v>
      </c>
      <c r="N6">
        <v>0.503</v>
      </c>
      <c r="O6">
        <v>23.6736</v>
      </c>
      <c r="P6">
        <v>0.19457099999999999</v>
      </c>
      <c r="Q6">
        <v>0.15371099999999999</v>
      </c>
      <c r="R6">
        <v>0.47581400000000001</v>
      </c>
      <c r="S6">
        <v>173926</v>
      </c>
      <c r="T6">
        <v>85074</v>
      </c>
      <c r="U6">
        <v>3008306</v>
      </c>
      <c r="V6">
        <v>1826137</v>
      </c>
      <c r="W6" s="2">
        <v>46402</v>
      </c>
      <c r="X6">
        <v>985402</v>
      </c>
      <c r="Y6">
        <v>4085</v>
      </c>
    </row>
    <row r="7" spans="1:25">
      <c r="A7" t="s">
        <v>22</v>
      </c>
      <c r="B7">
        <v>1</v>
      </c>
      <c r="C7" s="2">
        <v>46168</v>
      </c>
      <c r="D7" s="1">
        <v>311.54000000000002</v>
      </c>
      <c r="E7" s="1">
        <v>300</v>
      </c>
      <c r="F7" s="1">
        <v>250</v>
      </c>
      <c r="G7" s="1">
        <v>10</v>
      </c>
      <c r="H7" s="1">
        <v>-73705604.189999998</v>
      </c>
      <c r="I7" s="1">
        <v>17480797.869999997</v>
      </c>
      <c r="J7" s="1">
        <v>-2180972080.2700005</v>
      </c>
      <c r="K7" s="1">
        <v>31671148718.880001</v>
      </c>
      <c r="L7">
        <v>0.22700000000000001</v>
      </c>
      <c r="M7">
        <v>0.17</v>
      </c>
      <c r="N7">
        <v>0.33</v>
      </c>
      <c r="O7">
        <v>33.2348</v>
      </c>
      <c r="P7">
        <v>0.18092800000000001</v>
      </c>
      <c r="Q7">
        <v>9.5371999999999998E-2</v>
      </c>
      <c r="R7">
        <v>0.33883000000000002</v>
      </c>
      <c r="S7">
        <v>348073</v>
      </c>
      <c r="T7">
        <v>114490</v>
      </c>
      <c r="U7">
        <v>2799188</v>
      </c>
      <c r="V7">
        <v>2011832</v>
      </c>
      <c r="W7" s="2">
        <v>46191</v>
      </c>
      <c r="X7">
        <v>957440</v>
      </c>
      <c r="Y7">
        <v>31226</v>
      </c>
    </row>
    <row r="8" spans="1:25">
      <c r="A8" t="s">
        <v>23</v>
      </c>
      <c r="B8">
        <v>1</v>
      </c>
      <c r="C8" s="2">
        <v>46168</v>
      </c>
      <c r="D8" s="1">
        <v>432.97</v>
      </c>
      <c r="E8" s="1">
        <v>500</v>
      </c>
      <c r="F8" s="1">
        <v>300</v>
      </c>
      <c r="G8" s="1">
        <v>15</v>
      </c>
      <c r="H8" s="1">
        <v>-25072146.399999999</v>
      </c>
      <c r="I8" s="1">
        <v>211001.29000000015</v>
      </c>
      <c r="J8" s="1">
        <v>-9362880619.8000011</v>
      </c>
      <c r="K8" s="1">
        <v>58129996657.919975</v>
      </c>
      <c r="L8">
        <v>0.45400000000000001</v>
      </c>
      <c r="M8">
        <v>0.39</v>
      </c>
      <c r="N8">
        <v>0.77300000000000002</v>
      </c>
      <c r="O8">
        <v>16.309799999999999</v>
      </c>
      <c r="P8">
        <v>0.38065599999999999</v>
      </c>
      <c r="Q8">
        <v>0.28529300000000002</v>
      </c>
      <c r="R8">
        <v>0.80359000000000003</v>
      </c>
      <c r="S8">
        <v>1082433</v>
      </c>
      <c r="T8">
        <v>432942</v>
      </c>
      <c r="U8">
        <v>3743953</v>
      </c>
      <c r="V8">
        <v>2756271</v>
      </c>
      <c r="W8" s="2">
        <v>46191</v>
      </c>
      <c r="X8">
        <v>1229410</v>
      </c>
      <c r="Y8">
        <v>53550</v>
      </c>
    </row>
    <row r="9" spans="1:25">
      <c r="A9" t="s">
        <v>24</v>
      </c>
      <c r="B9">
        <v>1</v>
      </c>
      <c r="C9" s="2">
        <v>46168</v>
      </c>
      <c r="D9" s="1">
        <v>606.67499999999995</v>
      </c>
      <c r="E9" s="1">
        <v>750</v>
      </c>
      <c r="F9" s="1">
        <v>500</v>
      </c>
      <c r="G9" s="1">
        <v>25</v>
      </c>
      <c r="H9" s="1">
        <v>-37097.239999999991</v>
      </c>
      <c r="I9" s="1">
        <v>353465.79999999993</v>
      </c>
      <c r="J9" s="1">
        <v>-327476277.93000007</v>
      </c>
      <c r="K9" s="1">
        <v>15920123962.700012</v>
      </c>
      <c r="L9">
        <v>0.313</v>
      </c>
      <c r="M9">
        <v>0.23400000000000001</v>
      </c>
      <c r="N9">
        <v>0.48799999999999999</v>
      </c>
      <c r="O9">
        <v>26.5337</v>
      </c>
      <c r="P9">
        <v>0.34224300000000002</v>
      </c>
      <c r="Q9">
        <v>0.17115</v>
      </c>
      <c r="R9">
        <v>0.52788999999999997</v>
      </c>
      <c r="S9">
        <v>132840</v>
      </c>
      <c r="T9">
        <v>53712</v>
      </c>
      <c r="U9">
        <v>2007471</v>
      </c>
      <c r="V9">
        <v>921055</v>
      </c>
      <c r="W9" s="2">
        <v>46191</v>
      </c>
      <c r="X9">
        <v>761303</v>
      </c>
      <c r="Y9">
        <v>8739</v>
      </c>
    </row>
    <row r="10" spans="1:25">
      <c r="A10" t="s">
        <v>25</v>
      </c>
      <c r="B10">
        <v>2</v>
      </c>
      <c r="C10" s="2">
        <v>46168</v>
      </c>
      <c r="D10" s="1">
        <v>136.22499999999999</v>
      </c>
      <c r="E10" s="1">
        <v>150</v>
      </c>
      <c r="F10" s="1">
        <v>120</v>
      </c>
      <c r="G10" s="1">
        <v>108</v>
      </c>
      <c r="H10" s="1">
        <v>-32467202.09</v>
      </c>
      <c r="I10" s="1">
        <v>-832349.02999999991</v>
      </c>
      <c r="J10" s="1">
        <v>-528768103.68000007</v>
      </c>
      <c r="K10" s="1">
        <v>3615686927.1400003</v>
      </c>
      <c r="L10">
        <v>0.46300000000000002</v>
      </c>
      <c r="M10">
        <v>0.40500000000000003</v>
      </c>
      <c r="N10">
        <v>0.746</v>
      </c>
      <c r="O10">
        <v>16.059000000000001</v>
      </c>
      <c r="P10">
        <v>0.37867000000000001</v>
      </c>
      <c r="Q10">
        <v>0.28207700000000002</v>
      </c>
      <c r="R10">
        <v>0.72988600000000003</v>
      </c>
      <c r="S10">
        <v>102865</v>
      </c>
      <c r="T10">
        <v>52623</v>
      </c>
      <c r="U10">
        <v>1723997</v>
      </c>
      <c r="V10">
        <v>1763376</v>
      </c>
      <c r="W10" s="2">
        <v>46191</v>
      </c>
      <c r="X10">
        <v>674416</v>
      </c>
      <c r="Y10">
        <v>14392</v>
      </c>
    </row>
    <row r="11" spans="1:25">
      <c r="A11" t="s">
        <v>26</v>
      </c>
      <c r="B11">
        <v>1</v>
      </c>
      <c r="C11" s="2">
        <v>46168</v>
      </c>
      <c r="D11" s="1">
        <v>384.32</v>
      </c>
      <c r="E11" s="1">
        <v>400</v>
      </c>
      <c r="F11" s="1">
        <v>330</v>
      </c>
      <c r="G11" s="1">
        <v>80</v>
      </c>
      <c r="H11" s="1">
        <v>183630611.77000001</v>
      </c>
      <c r="I11" s="1">
        <v>8374535.4099999964</v>
      </c>
      <c r="J11" s="1">
        <v>-4593768561.460001</v>
      </c>
      <c r="K11" s="1">
        <v>24987602562.819992</v>
      </c>
      <c r="L11">
        <v>0.30499999999999999</v>
      </c>
      <c r="M11">
        <v>0.245</v>
      </c>
      <c r="N11">
        <v>0.44400000000000001</v>
      </c>
      <c r="O11">
        <v>25.787099999999999</v>
      </c>
      <c r="P11">
        <v>0.40247899999999998</v>
      </c>
      <c r="Q11">
        <v>0.15762899999999999</v>
      </c>
      <c r="R11">
        <v>0.40767300000000001</v>
      </c>
      <c r="S11">
        <v>52484</v>
      </c>
      <c r="T11">
        <v>18461</v>
      </c>
      <c r="U11">
        <v>965370</v>
      </c>
      <c r="V11">
        <v>796998</v>
      </c>
      <c r="W11" s="2">
        <v>46191</v>
      </c>
      <c r="X11">
        <v>427609</v>
      </c>
      <c r="Y11">
        <v>6759</v>
      </c>
    </row>
    <row r="12" spans="1:25">
      <c r="A12" t="s">
        <v>27</v>
      </c>
      <c r="B12">
        <v>1</v>
      </c>
      <c r="C12" s="2">
        <v>46168</v>
      </c>
      <c r="D12" s="1">
        <v>414.315</v>
      </c>
      <c r="E12" s="1">
        <v>575</v>
      </c>
      <c r="F12" s="1">
        <v>400</v>
      </c>
      <c r="G12" s="1">
        <v>357.5</v>
      </c>
      <c r="H12" s="1">
        <v>-225498275.66999996</v>
      </c>
      <c r="I12" s="1">
        <v>17108420.949999999</v>
      </c>
      <c r="J12" s="1">
        <v>-9920894089.3500004</v>
      </c>
      <c r="K12" s="1">
        <v>5615665135.989996</v>
      </c>
      <c r="L12">
        <v>0.28100000000000003</v>
      </c>
      <c r="M12">
        <v>0.16400000000000001</v>
      </c>
      <c r="N12">
        <v>0.40600000000000003</v>
      </c>
      <c r="O12">
        <v>49.508299999999998</v>
      </c>
      <c r="P12">
        <v>0.229211</v>
      </c>
      <c r="Q12">
        <v>9.9789000000000003E-2</v>
      </c>
      <c r="R12">
        <v>0.48585499999999998</v>
      </c>
      <c r="S12">
        <v>217179</v>
      </c>
      <c r="T12">
        <v>109024</v>
      </c>
      <c r="U12">
        <v>2597688</v>
      </c>
      <c r="V12">
        <v>1239584</v>
      </c>
      <c r="W12" s="2">
        <v>46191</v>
      </c>
      <c r="X12">
        <v>745207</v>
      </c>
      <c r="Y12">
        <v>24415</v>
      </c>
    </row>
    <row r="13" spans="1:25">
      <c r="A13" t="s">
        <v>28</v>
      </c>
      <c r="B13">
        <v>1</v>
      </c>
      <c r="C13" s="2">
        <v>46168</v>
      </c>
      <c r="D13" s="1">
        <v>214.23</v>
      </c>
      <c r="E13" s="1">
        <v>200</v>
      </c>
      <c r="F13" s="1">
        <v>200</v>
      </c>
      <c r="G13" s="1">
        <v>355</v>
      </c>
      <c r="H13" s="1">
        <v>868745596.30000007</v>
      </c>
      <c r="I13" s="1">
        <v>116577212.72000001</v>
      </c>
      <c r="J13" s="1">
        <v>-334131566743.1499</v>
      </c>
      <c r="K13" s="1">
        <v>83924116007.919998</v>
      </c>
      <c r="L13">
        <v>0.38400000000000001</v>
      </c>
      <c r="M13">
        <v>0.312</v>
      </c>
      <c r="N13">
        <v>0.55100000000000005</v>
      </c>
      <c r="O13">
        <v>34.158200000000001</v>
      </c>
      <c r="P13">
        <v>0.42323499999999997</v>
      </c>
      <c r="Q13">
        <v>0.219718</v>
      </c>
      <c r="R13">
        <v>0.46928999999999998</v>
      </c>
      <c r="S13">
        <v>1253444</v>
      </c>
      <c r="T13">
        <v>551573</v>
      </c>
      <c r="U13">
        <v>8657335</v>
      </c>
      <c r="V13">
        <v>7036120</v>
      </c>
      <c r="W13" s="2">
        <v>46191</v>
      </c>
      <c r="X13">
        <v>3452118</v>
      </c>
      <c r="Y13">
        <v>92075</v>
      </c>
    </row>
    <row r="14" spans="1:25">
      <c r="A14" t="s">
        <v>29</v>
      </c>
      <c r="B14">
        <v>2</v>
      </c>
      <c r="C14" s="2">
        <v>46168</v>
      </c>
      <c r="D14" s="1">
        <v>64.290000000000006</v>
      </c>
      <c r="E14" s="1">
        <v>70</v>
      </c>
      <c r="F14" s="1">
        <v>50</v>
      </c>
      <c r="G14" s="1">
        <v>41</v>
      </c>
      <c r="H14" s="1">
        <v>18249282.649999999</v>
      </c>
      <c r="I14" s="1">
        <v>1619200.9</v>
      </c>
      <c r="J14" s="1">
        <v>-1101024555.2800002</v>
      </c>
      <c r="K14" s="1">
        <v>827945908.69000018</v>
      </c>
      <c r="L14">
        <v>0.499</v>
      </c>
      <c r="M14">
        <v>0.32200000000000001</v>
      </c>
      <c r="N14">
        <v>0.64700000000000002</v>
      </c>
      <c r="O14">
        <v>62.133600000000001</v>
      </c>
      <c r="P14">
        <v>0.485593</v>
      </c>
      <c r="Q14">
        <v>0.218476</v>
      </c>
      <c r="R14">
        <v>0.820245</v>
      </c>
      <c r="S14">
        <v>42459</v>
      </c>
      <c r="T14">
        <v>7767</v>
      </c>
      <c r="U14">
        <v>633900</v>
      </c>
      <c r="V14">
        <v>615616</v>
      </c>
      <c r="W14" s="2">
        <v>46191</v>
      </c>
      <c r="X14">
        <v>345743</v>
      </c>
      <c r="Y14">
        <v>4298</v>
      </c>
    </row>
    <row r="15" spans="1:25">
      <c r="A15" t="s">
        <v>30</v>
      </c>
      <c r="B15">
        <v>2</v>
      </c>
      <c r="C15" s="2">
        <v>46168</v>
      </c>
      <c r="D15" s="1">
        <v>108.4</v>
      </c>
      <c r="E15" s="1">
        <v>140</v>
      </c>
      <c r="F15" s="1">
        <v>90</v>
      </c>
      <c r="G15" s="1">
        <v>23</v>
      </c>
      <c r="H15" s="1">
        <v>-13429329.48</v>
      </c>
      <c r="I15" s="1">
        <v>1112932.33</v>
      </c>
      <c r="J15" s="1">
        <v>-1118302116.5300002</v>
      </c>
      <c r="K15" s="1">
        <v>133770422.10999997</v>
      </c>
      <c r="L15">
        <v>0.54600000000000004</v>
      </c>
      <c r="M15">
        <v>0.38400000000000001</v>
      </c>
      <c r="N15">
        <v>0.68200000000000005</v>
      </c>
      <c r="O15">
        <v>55.766599999999997</v>
      </c>
      <c r="P15">
        <v>0.55213599999999996</v>
      </c>
      <c r="Q15">
        <v>0.27604600000000001</v>
      </c>
      <c r="R15">
        <v>0.917547</v>
      </c>
      <c r="S15">
        <v>4983</v>
      </c>
      <c r="T15">
        <v>4873</v>
      </c>
      <c r="U15">
        <v>161539</v>
      </c>
      <c r="V15">
        <v>217872</v>
      </c>
      <c r="W15" s="2">
        <v>46191</v>
      </c>
      <c r="X15">
        <v>131367</v>
      </c>
      <c r="Y15">
        <v>962</v>
      </c>
    </row>
    <row r="16" spans="1:25">
      <c r="A16" t="s">
        <v>31</v>
      </c>
      <c r="B16">
        <v>2</v>
      </c>
      <c r="C16" s="2">
        <v>46168</v>
      </c>
      <c r="D16" s="1">
        <v>110.785</v>
      </c>
      <c r="E16" s="1">
        <v>120</v>
      </c>
      <c r="F16" s="1">
        <v>100</v>
      </c>
      <c r="G16" s="1">
        <v>20</v>
      </c>
      <c r="H16" s="1">
        <v>-8030617.2300000004</v>
      </c>
      <c r="I16" s="1">
        <v>338515.48000000004</v>
      </c>
      <c r="J16" s="1">
        <v>-65661379.969999999</v>
      </c>
      <c r="K16" s="1">
        <v>1151091334.0999999</v>
      </c>
      <c r="L16">
        <v>0.41599999999999998</v>
      </c>
      <c r="M16">
        <v>0.30099999999999999</v>
      </c>
      <c r="N16">
        <v>0.624</v>
      </c>
      <c r="O16">
        <v>43.684899999999999</v>
      </c>
      <c r="P16">
        <v>0.49690299999999998</v>
      </c>
      <c r="Q16">
        <v>0.186946</v>
      </c>
      <c r="R16">
        <v>0.72510799999999997</v>
      </c>
      <c r="S16">
        <v>3770</v>
      </c>
      <c r="T16">
        <v>3036</v>
      </c>
      <c r="U16">
        <v>306588</v>
      </c>
      <c r="V16">
        <v>231811</v>
      </c>
      <c r="W16" s="2">
        <v>46191</v>
      </c>
      <c r="X16">
        <v>134860</v>
      </c>
      <c r="Y16">
        <v>657</v>
      </c>
    </row>
    <row r="17" spans="1:25">
      <c r="A17" t="s">
        <v>32</v>
      </c>
      <c r="B17">
        <v>2</v>
      </c>
      <c r="C17" s="2">
        <v>46168</v>
      </c>
      <c r="D17" s="1">
        <v>16.52</v>
      </c>
      <c r="E17" s="1">
        <v>15</v>
      </c>
      <c r="F17" s="1">
        <v>10</v>
      </c>
      <c r="G17" s="1">
        <v>1</v>
      </c>
      <c r="H17" s="1">
        <v>9292759.3799999971</v>
      </c>
      <c r="I17" s="1">
        <v>65917.699999999837</v>
      </c>
      <c r="J17" s="1">
        <v>-298569117.55999994</v>
      </c>
      <c r="K17" s="1">
        <v>92295059.660000011</v>
      </c>
      <c r="L17">
        <v>0.30299999999999999</v>
      </c>
      <c r="M17">
        <v>0.19800000000000001</v>
      </c>
      <c r="N17">
        <v>0.443</v>
      </c>
      <c r="O17">
        <v>73.270200000000003</v>
      </c>
      <c r="P17">
        <v>0.35941899999999999</v>
      </c>
      <c r="Q17">
        <v>0.109823</v>
      </c>
      <c r="R17">
        <v>0.49229000000000001</v>
      </c>
      <c r="S17">
        <v>7878</v>
      </c>
      <c r="T17">
        <v>5264</v>
      </c>
      <c r="U17">
        <v>800981</v>
      </c>
      <c r="V17">
        <v>823913</v>
      </c>
      <c r="W17" s="2">
        <v>46402</v>
      </c>
      <c r="X17">
        <v>536184</v>
      </c>
      <c r="Y17">
        <v>1004</v>
      </c>
    </row>
    <row r="18" spans="1:25">
      <c r="A18" t="s">
        <v>33</v>
      </c>
      <c r="B18">
        <v>1</v>
      </c>
      <c r="C18" s="2">
        <v>46168</v>
      </c>
      <c r="D18" s="1">
        <v>247.93</v>
      </c>
      <c r="E18" s="1">
        <v>300</v>
      </c>
      <c r="F18" s="1">
        <v>220</v>
      </c>
      <c r="G18" s="1">
        <v>192.5</v>
      </c>
      <c r="H18" s="1">
        <v>21348706.010000002</v>
      </c>
      <c r="I18" s="1">
        <v>3494693.4</v>
      </c>
      <c r="J18" s="1">
        <v>-1999096224.7</v>
      </c>
      <c r="K18" s="1">
        <v>1469522783.6499994</v>
      </c>
      <c r="L18">
        <v>0.40600000000000003</v>
      </c>
      <c r="M18">
        <v>0.20200000000000001</v>
      </c>
      <c r="N18">
        <v>0.56000000000000005</v>
      </c>
      <c r="O18">
        <v>59.779800000000002</v>
      </c>
      <c r="P18">
        <v>0.49434899999999998</v>
      </c>
      <c r="Q18">
        <v>0.12902</v>
      </c>
      <c r="R18">
        <v>0.68692500000000001</v>
      </c>
      <c r="S18">
        <v>34267</v>
      </c>
      <c r="T18">
        <v>10650</v>
      </c>
      <c r="U18">
        <v>242713</v>
      </c>
      <c r="V18">
        <v>172548</v>
      </c>
      <c r="W18" s="2">
        <v>46191</v>
      </c>
      <c r="X18">
        <v>89392</v>
      </c>
      <c r="Y18">
        <v>5486</v>
      </c>
    </row>
    <row r="19" spans="1:25">
      <c r="A19" t="s">
        <v>34</v>
      </c>
      <c r="B19">
        <v>3</v>
      </c>
      <c r="C19" s="2">
        <v>46168</v>
      </c>
      <c r="D19" s="1">
        <v>107.29</v>
      </c>
      <c r="E19" s="1">
        <v>150</v>
      </c>
      <c r="F19" s="1">
        <v>65</v>
      </c>
      <c r="G19" s="1">
        <v>32.5</v>
      </c>
      <c r="H19" s="1">
        <v>8751118.2100000083</v>
      </c>
      <c r="I19" s="1">
        <v>2702647.9799999991</v>
      </c>
      <c r="J19" s="1">
        <v>-2638874053.3100009</v>
      </c>
      <c r="K19" s="1">
        <v>873130505.46999991</v>
      </c>
      <c r="L19">
        <v>0.85699999999999998</v>
      </c>
      <c r="M19">
        <v>0.67600000000000005</v>
      </c>
      <c r="N19">
        <v>1.581</v>
      </c>
      <c r="O19">
        <v>20.175000000000001</v>
      </c>
      <c r="P19">
        <v>0.86676699999999995</v>
      </c>
      <c r="Q19">
        <v>0.62738799999999995</v>
      </c>
      <c r="R19">
        <v>1.7107300000000001</v>
      </c>
      <c r="S19">
        <v>56091</v>
      </c>
      <c r="T19">
        <v>31242</v>
      </c>
      <c r="U19">
        <v>1005967</v>
      </c>
      <c r="V19">
        <v>826496</v>
      </c>
      <c r="W19" s="2">
        <v>46191</v>
      </c>
      <c r="X19">
        <v>570460</v>
      </c>
      <c r="Y19">
        <v>9741</v>
      </c>
    </row>
    <row r="20" spans="1:25">
      <c r="A20" t="s">
        <v>35</v>
      </c>
      <c r="B20">
        <v>1</v>
      </c>
      <c r="C20" s="2">
        <v>46168</v>
      </c>
      <c r="D20" s="1">
        <v>118.2</v>
      </c>
      <c r="E20" s="1">
        <v>120</v>
      </c>
      <c r="F20" s="1">
        <v>70</v>
      </c>
      <c r="G20" s="1">
        <v>72</v>
      </c>
      <c r="H20" s="1">
        <v>2282162.5699999994</v>
      </c>
      <c r="I20" s="1">
        <v>344921.98000000016</v>
      </c>
      <c r="J20" s="1">
        <v>-96915851.239999995</v>
      </c>
      <c r="K20" s="1">
        <v>2739745353.6700001</v>
      </c>
      <c r="L20">
        <v>0.35899999999999999</v>
      </c>
      <c r="M20">
        <v>0.16400000000000001</v>
      </c>
      <c r="N20">
        <v>0.495</v>
      </c>
      <c r="O20">
        <v>58.221800000000002</v>
      </c>
      <c r="P20">
        <v>0.52341099999999996</v>
      </c>
      <c r="Q20">
        <v>0.11863899999999999</v>
      </c>
      <c r="R20">
        <v>0.55446099999999998</v>
      </c>
      <c r="S20">
        <v>34174</v>
      </c>
      <c r="T20">
        <v>13071</v>
      </c>
      <c r="U20">
        <v>574073</v>
      </c>
      <c r="V20">
        <v>388082</v>
      </c>
      <c r="W20" s="2">
        <v>46191</v>
      </c>
      <c r="X20">
        <v>244207</v>
      </c>
      <c r="Y20">
        <v>6662</v>
      </c>
    </row>
    <row r="21" spans="1:25">
      <c r="A21" t="s">
        <v>36</v>
      </c>
      <c r="B21">
        <v>1</v>
      </c>
      <c r="C21" s="2">
        <v>46168</v>
      </c>
      <c r="D21" s="1">
        <v>257.64999999999998</v>
      </c>
      <c r="E21" s="1">
        <v>200</v>
      </c>
      <c r="F21" s="1">
        <v>150</v>
      </c>
      <c r="G21" s="1">
        <v>30</v>
      </c>
      <c r="H21" s="1">
        <v>-4986174.5200000005</v>
      </c>
      <c r="I21" s="1">
        <v>838832.22</v>
      </c>
      <c r="J21" s="1">
        <v>-374849546.10999995</v>
      </c>
      <c r="K21" s="1">
        <v>4946302757.8800001</v>
      </c>
      <c r="L21">
        <v>0.60099999999999998</v>
      </c>
      <c r="M21">
        <v>0.251</v>
      </c>
      <c r="N21">
        <v>0.60099999999999998</v>
      </c>
      <c r="O21">
        <v>100</v>
      </c>
      <c r="P21">
        <v>0.42050799999999999</v>
      </c>
      <c r="Q21">
        <v>0.14515500000000001</v>
      </c>
      <c r="R21">
        <v>0.55626200000000003</v>
      </c>
      <c r="S21">
        <v>10609</v>
      </c>
      <c r="T21">
        <v>6745</v>
      </c>
      <c r="U21">
        <v>278619</v>
      </c>
      <c r="V21">
        <v>293007</v>
      </c>
      <c r="W21" s="2">
        <v>46191</v>
      </c>
      <c r="X21">
        <v>138576</v>
      </c>
      <c r="Y21">
        <v>1276</v>
      </c>
    </row>
    <row r="22" spans="1:25">
      <c r="A22" t="s">
        <v>37</v>
      </c>
      <c r="B22">
        <v>1</v>
      </c>
      <c r="C22" s="2"/>
      <c r="D22" s="1">
        <v>193.04499999999999</v>
      </c>
      <c r="E22" s="1">
        <v>200</v>
      </c>
      <c r="F22" s="1">
        <v>150</v>
      </c>
      <c r="G22" s="1">
        <v>143</v>
      </c>
      <c r="H22" s="1">
        <v>-62100339.439999998</v>
      </c>
      <c r="I22" s="1">
        <v>-3292388.4499999997</v>
      </c>
      <c r="J22" s="1">
        <v>-1572001826.71</v>
      </c>
      <c r="K22" s="1">
        <v>1923093909.8</v>
      </c>
      <c r="S22">
        <v>88575</v>
      </c>
      <c r="T22">
        <v>30926</v>
      </c>
      <c r="U22">
        <v>1183147</v>
      </c>
      <c r="V22">
        <v>1068201</v>
      </c>
      <c r="W22" s="2">
        <v>46191</v>
      </c>
      <c r="X22">
        <v>545156</v>
      </c>
      <c r="Y22">
        <v>24684</v>
      </c>
    </row>
    <row r="23" spans="1:25">
      <c r="A23" t="s">
        <v>38</v>
      </c>
      <c r="B23">
        <v>1</v>
      </c>
      <c r="C23" s="2">
        <v>46168</v>
      </c>
      <c r="D23" s="1">
        <v>218.91</v>
      </c>
      <c r="E23" s="1">
        <v>250</v>
      </c>
      <c r="F23" s="1">
        <v>140</v>
      </c>
      <c r="G23" s="1">
        <v>47.5</v>
      </c>
      <c r="H23" s="1">
        <v>-2779999.1600000011</v>
      </c>
      <c r="I23" s="1">
        <v>170864.09</v>
      </c>
      <c r="J23" s="1">
        <v>-198853757.19000003</v>
      </c>
      <c r="K23" s="1">
        <v>1259293374.2000003</v>
      </c>
      <c r="L23">
        <v>0.59399999999999997</v>
      </c>
      <c r="M23">
        <v>0.38700000000000001</v>
      </c>
      <c r="N23">
        <v>0.88700000000000001</v>
      </c>
      <c r="O23">
        <v>45.136400000000002</v>
      </c>
      <c r="P23">
        <v>1.08694</v>
      </c>
      <c r="Q23">
        <v>0.26207999999999998</v>
      </c>
      <c r="R23">
        <v>1.264386</v>
      </c>
      <c r="S23">
        <v>4788</v>
      </c>
      <c r="T23">
        <v>1937</v>
      </c>
      <c r="U23">
        <v>151403</v>
      </c>
      <c r="V23">
        <v>111699</v>
      </c>
      <c r="W23" s="2">
        <v>46191</v>
      </c>
      <c r="X23">
        <v>71275</v>
      </c>
      <c r="Y23">
        <v>931</v>
      </c>
    </row>
    <row r="24" spans="1:25">
      <c r="A24" t="s">
        <v>39</v>
      </c>
      <c r="B24">
        <v>1</v>
      </c>
      <c r="C24" s="2">
        <v>46168</v>
      </c>
      <c r="D24" s="1">
        <v>671.92</v>
      </c>
      <c r="E24" s="1">
        <v>470</v>
      </c>
      <c r="F24" s="1">
        <v>300</v>
      </c>
      <c r="G24" s="1">
        <v>325</v>
      </c>
      <c r="H24" s="1">
        <v>6912491.7799999975</v>
      </c>
      <c r="I24" s="1">
        <v>1379480.38</v>
      </c>
      <c r="J24" s="1">
        <v>-492879075.64000005</v>
      </c>
      <c r="K24" s="1">
        <v>14818333111.219995</v>
      </c>
      <c r="L24">
        <v>0.60199999999999998</v>
      </c>
      <c r="M24">
        <v>0.317</v>
      </c>
      <c r="N24">
        <v>0.66900000000000004</v>
      </c>
      <c r="O24">
        <v>81.010900000000007</v>
      </c>
      <c r="P24">
        <v>0.37006600000000001</v>
      </c>
      <c r="Q24">
        <v>0.245752</v>
      </c>
      <c r="R24">
        <v>0.73905100000000001</v>
      </c>
      <c r="S24">
        <v>6674</v>
      </c>
      <c r="T24">
        <v>7918</v>
      </c>
      <c r="U24">
        <v>193894</v>
      </c>
      <c r="V24">
        <v>178608</v>
      </c>
      <c r="W24" s="2">
        <v>46191</v>
      </c>
      <c r="X24">
        <v>82927</v>
      </c>
      <c r="Y24">
        <v>1856</v>
      </c>
    </row>
    <row r="25" spans="1:25">
      <c r="A25" t="s">
        <v>40</v>
      </c>
      <c r="B25">
        <v>1</v>
      </c>
      <c r="C25" s="2">
        <v>46168</v>
      </c>
      <c r="D25" s="1">
        <v>181.29</v>
      </c>
      <c r="E25" s="1">
        <v>200</v>
      </c>
      <c r="F25" s="1">
        <v>170</v>
      </c>
      <c r="G25" s="1">
        <v>131</v>
      </c>
      <c r="H25" s="1">
        <v>-27136051.549999997</v>
      </c>
      <c r="I25" s="1">
        <v>-444286.88999999996</v>
      </c>
      <c r="J25" s="1">
        <v>-811383718.27999973</v>
      </c>
      <c r="K25" s="1">
        <v>-264903087.44000003</v>
      </c>
      <c r="L25">
        <v>0.54600000000000004</v>
      </c>
      <c r="M25">
        <v>0.23699999999999999</v>
      </c>
      <c r="N25">
        <v>0.60499999999999998</v>
      </c>
      <c r="O25">
        <v>90.456999999999994</v>
      </c>
      <c r="P25">
        <v>0.37784099999999998</v>
      </c>
      <c r="Q25">
        <v>0.17368800000000001</v>
      </c>
      <c r="R25">
        <v>0.51445700000000005</v>
      </c>
      <c r="S25">
        <v>17564</v>
      </c>
      <c r="T25">
        <v>10230</v>
      </c>
      <c r="U25">
        <v>489143</v>
      </c>
      <c r="V25">
        <v>382137</v>
      </c>
      <c r="W25" s="2">
        <v>46191</v>
      </c>
      <c r="X25">
        <v>226640</v>
      </c>
      <c r="Y25">
        <v>2745</v>
      </c>
    </row>
    <row r="26" spans="1:25">
      <c r="A26" t="s">
        <v>41</v>
      </c>
      <c r="B26">
        <v>1</v>
      </c>
      <c r="C26" s="2">
        <v>46168</v>
      </c>
      <c r="D26" s="1">
        <v>101.37</v>
      </c>
      <c r="E26" s="1">
        <v>100</v>
      </c>
      <c r="F26" s="1">
        <v>60</v>
      </c>
      <c r="G26" s="1">
        <v>77</v>
      </c>
      <c r="H26" s="1">
        <v>5802767.5300000058</v>
      </c>
      <c r="I26" s="1">
        <v>806646.07999999984</v>
      </c>
      <c r="J26" s="1">
        <v>-1970160265.7300003</v>
      </c>
      <c r="K26" s="1">
        <v>542999980.65999997</v>
      </c>
      <c r="L26">
        <v>0.59299999999999997</v>
      </c>
      <c r="M26">
        <v>0.27100000000000002</v>
      </c>
      <c r="N26">
        <v>0.748</v>
      </c>
      <c r="O26">
        <v>66.754599999999996</v>
      </c>
      <c r="P26">
        <v>0.49861899999999998</v>
      </c>
      <c r="Q26">
        <v>0.143458</v>
      </c>
      <c r="R26">
        <v>0.95919699999999997</v>
      </c>
      <c r="S26">
        <v>59723</v>
      </c>
      <c r="T26">
        <v>18670</v>
      </c>
      <c r="U26">
        <v>784547</v>
      </c>
      <c r="V26">
        <v>569707</v>
      </c>
      <c r="W26" s="2">
        <v>46191</v>
      </c>
      <c r="X26">
        <v>281452</v>
      </c>
      <c r="Y26">
        <v>9928</v>
      </c>
    </row>
    <row r="27" spans="1:25">
      <c r="A27" t="s">
        <v>42</v>
      </c>
      <c r="B27">
        <v>1</v>
      </c>
      <c r="C27" s="2">
        <v>46168</v>
      </c>
      <c r="D27" s="1">
        <v>241.83</v>
      </c>
      <c r="E27" s="1">
        <v>200</v>
      </c>
      <c r="F27" s="1">
        <v>220</v>
      </c>
      <c r="G27" s="1">
        <v>207.5</v>
      </c>
      <c r="H27" s="1">
        <v>-28319033.540000003</v>
      </c>
      <c r="I27" s="1">
        <v>2348056.6800000002</v>
      </c>
      <c r="J27" s="1">
        <v>-1696838771.5299997</v>
      </c>
      <c r="K27" s="1">
        <v>-190425239.5999999</v>
      </c>
      <c r="L27">
        <v>0.55500000000000005</v>
      </c>
      <c r="M27">
        <v>0.22600000000000001</v>
      </c>
      <c r="N27">
        <v>0.57799999999999996</v>
      </c>
      <c r="O27">
        <v>87.940700000000007</v>
      </c>
      <c r="P27">
        <v>0.33567900000000001</v>
      </c>
      <c r="Q27">
        <v>0.18377199999999999</v>
      </c>
      <c r="R27">
        <v>0.47109699999999999</v>
      </c>
      <c r="S27">
        <v>8759</v>
      </c>
      <c r="T27">
        <v>8154</v>
      </c>
      <c r="U27">
        <v>355417</v>
      </c>
      <c r="V27">
        <v>245573</v>
      </c>
      <c r="W27" s="2">
        <v>46191</v>
      </c>
      <c r="X27">
        <v>130554</v>
      </c>
      <c r="Y27">
        <v>2692</v>
      </c>
    </row>
    <row r="28" spans="1:25">
      <c r="A28" t="s">
        <v>43</v>
      </c>
      <c r="B28">
        <v>3</v>
      </c>
      <c r="C28" s="2">
        <v>46168</v>
      </c>
      <c r="D28" s="1">
        <v>180.58</v>
      </c>
      <c r="E28" s="1">
        <v>200</v>
      </c>
      <c r="F28" s="1">
        <v>70</v>
      </c>
      <c r="G28" s="1">
        <v>1</v>
      </c>
      <c r="H28" s="1">
        <v>2402213.7200000011</v>
      </c>
      <c r="I28" s="1">
        <v>613017.07000000007</v>
      </c>
      <c r="J28" s="1">
        <v>-412912045.37</v>
      </c>
      <c r="K28" s="1">
        <v>723871295.24999952</v>
      </c>
      <c r="L28">
        <v>1.329</v>
      </c>
      <c r="M28">
        <v>0.85799999999999998</v>
      </c>
      <c r="N28">
        <v>1.629</v>
      </c>
      <c r="O28">
        <v>63.6614</v>
      </c>
      <c r="P28">
        <v>1.472375</v>
      </c>
      <c r="Q28">
        <v>0.56312499999999999</v>
      </c>
      <c r="R28">
        <v>2.3195800000000002</v>
      </c>
      <c r="S28">
        <v>15333</v>
      </c>
      <c r="T28">
        <v>12714</v>
      </c>
      <c r="U28">
        <v>125425</v>
      </c>
      <c r="V28">
        <v>153345</v>
      </c>
      <c r="W28" s="2">
        <v>46171</v>
      </c>
      <c r="X28">
        <v>80185</v>
      </c>
      <c r="Y28">
        <v>16598</v>
      </c>
    </row>
    <row r="29" spans="1:25">
      <c r="A29" t="s">
        <v>44</v>
      </c>
      <c r="B29">
        <v>1</v>
      </c>
      <c r="C29" s="2">
        <v>46168</v>
      </c>
      <c r="D29" s="1">
        <v>252.86</v>
      </c>
      <c r="E29" s="1">
        <v>250</v>
      </c>
      <c r="F29" s="1">
        <v>200</v>
      </c>
      <c r="G29" s="1">
        <v>112</v>
      </c>
      <c r="H29" s="1">
        <v>-5881834.0000000009</v>
      </c>
      <c r="I29" s="1">
        <v>-1243098.3999999999</v>
      </c>
      <c r="J29" s="1">
        <v>-359873101.79999989</v>
      </c>
      <c r="K29" s="1">
        <v>2468452570.0800004</v>
      </c>
      <c r="L29">
        <v>0.93899999999999995</v>
      </c>
      <c r="M29">
        <v>0.251</v>
      </c>
      <c r="N29">
        <v>0.93899999999999995</v>
      </c>
      <c r="O29">
        <v>100</v>
      </c>
      <c r="P29">
        <v>0.98273900000000003</v>
      </c>
      <c r="Q29">
        <v>0.162462</v>
      </c>
      <c r="R29">
        <v>1.023039</v>
      </c>
      <c r="S29">
        <v>121132</v>
      </c>
      <c r="T29">
        <v>21922</v>
      </c>
      <c r="U29">
        <v>575946</v>
      </c>
      <c r="V29">
        <v>434282</v>
      </c>
      <c r="W29" s="2">
        <v>46191</v>
      </c>
      <c r="X29">
        <v>258595</v>
      </c>
      <c r="Y29">
        <v>25490</v>
      </c>
    </row>
    <row r="30" spans="1:25">
      <c r="A30" t="s">
        <v>45</v>
      </c>
      <c r="B30">
        <v>1</v>
      </c>
      <c r="C30" s="2">
        <v>46168</v>
      </c>
      <c r="D30" s="1">
        <v>881.94</v>
      </c>
      <c r="E30" s="1">
        <v>800</v>
      </c>
      <c r="F30" s="1">
        <v>400</v>
      </c>
      <c r="G30" s="1">
        <v>15</v>
      </c>
      <c r="H30" s="1">
        <v>-2117268.9700000002</v>
      </c>
      <c r="I30" s="1">
        <v>-3114839.94</v>
      </c>
      <c r="J30" s="1">
        <v>94460179.050000027</v>
      </c>
      <c r="K30" s="1">
        <v>126003550530.60001</v>
      </c>
      <c r="L30">
        <v>0.96899999999999997</v>
      </c>
      <c r="M30">
        <v>0.38100000000000001</v>
      </c>
      <c r="N30">
        <v>0.995</v>
      </c>
      <c r="O30">
        <v>97.244100000000003</v>
      </c>
      <c r="P30">
        <v>0.98043400000000003</v>
      </c>
      <c r="Q30">
        <v>0.28071200000000002</v>
      </c>
      <c r="R30">
        <v>0.98043400000000003</v>
      </c>
      <c r="S30">
        <v>351279</v>
      </c>
      <c r="T30">
        <v>259042</v>
      </c>
      <c r="U30">
        <v>1351922</v>
      </c>
      <c r="V30">
        <v>1699167</v>
      </c>
      <c r="W30" s="2">
        <v>46191</v>
      </c>
      <c r="X30">
        <v>672626</v>
      </c>
      <c r="Y30">
        <v>52940</v>
      </c>
    </row>
    <row r="31" spans="1:25">
      <c r="A31" t="s">
        <v>46</v>
      </c>
      <c r="B31">
        <v>1</v>
      </c>
      <c r="C31" s="2">
        <v>46168</v>
      </c>
      <c r="D31" s="1">
        <v>413.07</v>
      </c>
      <c r="E31" s="1">
        <v>400</v>
      </c>
      <c r="F31" s="1">
        <v>400</v>
      </c>
      <c r="G31" s="1">
        <v>235</v>
      </c>
      <c r="H31" s="1">
        <v>-33814988.82</v>
      </c>
      <c r="I31" s="1">
        <v>3001813.6</v>
      </c>
      <c r="J31" s="1">
        <v>-1615754732.5300002</v>
      </c>
      <c r="K31" s="1">
        <v>14657303957.139999</v>
      </c>
      <c r="L31">
        <v>0.437</v>
      </c>
      <c r="M31">
        <v>0.28999999999999998</v>
      </c>
      <c r="N31">
        <v>0.50800000000000001</v>
      </c>
      <c r="O31">
        <v>66.789500000000004</v>
      </c>
      <c r="P31">
        <v>0.37201800000000002</v>
      </c>
      <c r="Q31">
        <v>0.21596299999999999</v>
      </c>
      <c r="R31">
        <v>0.50335200000000002</v>
      </c>
      <c r="S31">
        <v>25016</v>
      </c>
      <c r="T31">
        <v>32700</v>
      </c>
      <c r="U31">
        <v>776954</v>
      </c>
      <c r="V31">
        <v>952201</v>
      </c>
      <c r="W31" s="2">
        <v>46191</v>
      </c>
      <c r="X31">
        <v>375593</v>
      </c>
      <c r="Y31">
        <v>9076</v>
      </c>
    </row>
    <row r="32" spans="1:25">
      <c r="A32" t="s">
        <v>47</v>
      </c>
      <c r="B32">
        <v>2</v>
      </c>
      <c r="C32" s="2">
        <v>46168</v>
      </c>
      <c r="D32" s="1">
        <v>452.3</v>
      </c>
      <c r="E32" s="1">
        <v>490</v>
      </c>
      <c r="F32" s="1">
        <v>380</v>
      </c>
      <c r="G32" s="1">
        <v>205</v>
      </c>
      <c r="H32" s="1">
        <v>7065445.2799999984</v>
      </c>
      <c r="I32" s="1">
        <v>792283.44000000006</v>
      </c>
      <c r="J32" s="1">
        <v>-618364114.62999988</v>
      </c>
      <c r="K32" s="1">
        <v>8883456475.5500011</v>
      </c>
      <c r="L32">
        <v>0.58099999999999996</v>
      </c>
      <c r="M32">
        <v>0.28000000000000003</v>
      </c>
      <c r="N32">
        <v>0.67500000000000004</v>
      </c>
      <c r="O32">
        <v>72.741</v>
      </c>
      <c r="P32">
        <v>0.55262</v>
      </c>
      <c r="Q32">
        <v>0.221634</v>
      </c>
      <c r="R32">
        <v>0.60054600000000002</v>
      </c>
      <c r="S32">
        <v>7286</v>
      </c>
      <c r="T32">
        <v>6848</v>
      </c>
      <c r="U32">
        <v>171844</v>
      </c>
      <c r="V32">
        <v>170831</v>
      </c>
      <c r="W32" s="2">
        <v>46191</v>
      </c>
      <c r="X32">
        <v>91346</v>
      </c>
      <c r="Y32">
        <v>3343</v>
      </c>
    </row>
    <row r="33" spans="1:25">
      <c r="A33" t="s">
        <v>48</v>
      </c>
      <c r="B33">
        <v>1</v>
      </c>
      <c r="C33" s="2">
        <v>46168</v>
      </c>
      <c r="D33" s="1">
        <v>491.74</v>
      </c>
      <c r="E33" s="1">
        <v>400</v>
      </c>
      <c r="F33" s="1">
        <v>200</v>
      </c>
      <c r="G33" s="1">
        <v>950</v>
      </c>
      <c r="H33" s="1">
        <v>246104611.79999998</v>
      </c>
      <c r="I33" s="1">
        <v>23019419.68</v>
      </c>
      <c r="J33" s="1">
        <v>-8955776661.6499996</v>
      </c>
      <c r="K33" s="1">
        <v>91251525928.62001</v>
      </c>
      <c r="L33">
        <v>0.70899999999999996</v>
      </c>
      <c r="M33">
        <v>0.38700000000000001</v>
      </c>
      <c r="N33">
        <v>0.73299999999999998</v>
      </c>
      <c r="O33">
        <v>96.340500000000006</v>
      </c>
      <c r="P33">
        <v>0.89097499999999996</v>
      </c>
      <c r="Q33">
        <v>0.31648700000000002</v>
      </c>
      <c r="R33">
        <v>0.98480800000000002</v>
      </c>
      <c r="S33">
        <v>157725</v>
      </c>
      <c r="T33">
        <v>103473</v>
      </c>
      <c r="U33">
        <v>1500601</v>
      </c>
      <c r="V33">
        <v>1580000</v>
      </c>
      <c r="W33" s="2">
        <v>46191</v>
      </c>
      <c r="X33">
        <v>666326</v>
      </c>
      <c r="Y33">
        <v>26523</v>
      </c>
    </row>
    <row r="34" spans="1:25">
      <c r="A34" t="s">
        <v>49</v>
      </c>
      <c r="B34">
        <v>2</v>
      </c>
      <c r="C34" s="2">
        <v>46168</v>
      </c>
      <c r="D34" s="1">
        <v>123.05500000000001</v>
      </c>
      <c r="E34" s="1">
        <v>50</v>
      </c>
      <c r="F34" s="1">
        <v>15</v>
      </c>
      <c r="G34" s="1">
        <v>19</v>
      </c>
      <c r="H34" s="1">
        <v>87532189.970000058</v>
      </c>
      <c r="I34" s="1">
        <v>16470387.960000001</v>
      </c>
      <c r="J34" s="1">
        <v>-6493400846.6200008</v>
      </c>
      <c r="K34" s="1">
        <v>11081600164.130001</v>
      </c>
      <c r="L34">
        <v>0.84199999999999997</v>
      </c>
      <c r="M34">
        <v>0.38200000000000001</v>
      </c>
      <c r="N34">
        <v>0.96499999999999997</v>
      </c>
      <c r="O34">
        <v>82.1952</v>
      </c>
      <c r="P34">
        <v>0.89480000000000004</v>
      </c>
      <c r="Q34">
        <v>0.33862500000000001</v>
      </c>
      <c r="R34">
        <v>1.1350359999999999</v>
      </c>
      <c r="S34">
        <v>245955</v>
      </c>
      <c r="T34">
        <v>94236</v>
      </c>
      <c r="U34">
        <v>2695456</v>
      </c>
      <c r="V34">
        <v>2856272</v>
      </c>
      <c r="W34" s="2">
        <v>46191</v>
      </c>
      <c r="X34">
        <v>1462135</v>
      </c>
      <c r="Y34">
        <v>46201</v>
      </c>
    </row>
    <row r="35" spans="1:25">
      <c r="A35" t="s">
        <v>50</v>
      </c>
      <c r="B35">
        <v>2</v>
      </c>
      <c r="C35" s="2">
        <v>46168</v>
      </c>
      <c r="D35" s="1">
        <v>36.274999999999999</v>
      </c>
      <c r="E35" s="1">
        <v>35</v>
      </c>
      <c r="F35" s="1">
        <v>10</v>
      </c>
      <c r="G35" s="1">
        <v>6</v>
      </c>
      <c r="H35" s="1">
        <v>14773797.820000002</v>
      </c>
      <c r="I35" s="1">
        <v>556245.12999999977</v>
      </c>
      <c r="J35" s="1">
        <v>-759532255.65999997</v>
      </c>
      <c r="K35" s="1">
        <v>270324069.08000004</v>
      </c>
      <c r="L35">
        <v>0.80500000000000005</v>
      </c>
      <c r="M35">
        <v>0.52</v>
      </c>
      <c r="N35">
        <v>1.0900000000000001</v>
      </c>
      <c r="O35">
        <v>47.475900000000003</v>
      </c>
      <c r="P35">
        <v>0.98372499999999996</v>
      </c>
      <c r="Q35">
        <v>0.33257599999999998</v>
      </c>
      <c r="R35">
        <v>1.612304</v>
      </c>
      <c r="S35">
        <v>80484</v>
      </c>
      <c r="T35">
        <v>14038</v>
      </c>
      <c r="U35">
        <v>1137043</v>
      </c>
      <c r="V35">
        <v>1010354</v>
      </c>
      <c r="W35" s="2">
        <v>46402</v>
      </c>
      <c r="X35">
        <v>561396</v>
      </c>
      <c r="Y35">
        <v>2076</v>
      </c>
    </row>
    <row r="36" spans="1:25">
      <c r="A36" t="s">
        <v>51</v>
      </c>
      <c r="B36">
        <v>1</v>
      </c>
      <c r="C36" s="2">
        <v>46168</v>
      </c>
      <c r="D36" s="1">
        <v>427.86500000000001</v>
      </c>
      <c r="E36" s="1">
        <v>420</v>
      </c>
      <c r="F36" s="1">
        <v>300</v>
      </c>
      <c r="G36" s="1">
        <v>82</v>
      </c>
      <c r="H36" s="1">
        <v>207059665.19999999</v>
      </c>
      <c r="I36" s="1">
        <v>13370664.019999998</v>
      </c>
      <c r="J36" s="1">
        <v>-41260676472.470009</v>
      </c>
      <c r="K36" s="1">
        <v>35629966490.929993</v>
      </c>
      <c r="L36">
        <v>0.56200000000000006</v>
      </c>
      <c r="M36">
        <v>0.34699999999999998</v>
      </c>
      <c r="N36">
        <v>0.66300000000000003</v>
      </c>
      <c r="O36">
        <v>66.6875</v>
      </c>
      <c r="P36">
        <v>0.42732599999999998</v>
      </c>
      <c r="Q36">
        <v>0.23294500000000001</v>
      </c>
      <c r="R36">
        <v>0.70370900000000003</v>
      </c>
      <c r="S36">
        <v>134330</v>
      </c>
      <c r="T36">
        <v>65137</v>
      </c>
      <c r="U36">
        <v>854801</v>
      </c>
      <c r="V36">
        <v>988031</v>
      </c>
      <c r="W36" s="2">
        <v>46191</v>
      </c>
      <c r="X36">
        <v>350770</v>
      </c>
      <c r="Y36">
        <v>11980</v>
      </c>
    </row>
    <row r="37" spans="1:25">
      <c r="A37" t="s">
        <v>52</v>
      </c>
      <c r="B37">
        <v>3</v>
      </c>
      <c r="C37" s="2">
        <v>46168</v>
      </c>
      <c r="D37" s="1">
        <v>47.54</v>
      </c>
      <c r="E37" s="1">
        <v>8</v>
      </c>
      <c r="F37" s="1">
        <v>30</v>
      </c>
      <c r="G37" s="1">
        <v>20.5</v>
      </c>
      <c r="H37" s="1">
        <v>148885.98999999993</v>
      </c>
      <c r="I37" s="1">
        <v>70506.470000000016</v>
      </c>
      <c r="J37" s="1">
        <v>-122716914.22000004</v>
      </c>
      <c r="K37" s="1">
        <v>509485071.48999995</v>
      </c>
      <c r="L37">
        <v>0.999</v>
      </c>
      <c r="M37">
        <v>0.80100000000000005</v>
      </c>
      <c r="N37">
        <v>1.4330000000000001</v>
      </c>
      <c r="O37">
        <v>32.1128</v>
      </c>
      <c r="P37">
        <v>1.168415</v>
      </c>
      <c r="Q37">
        <v>0.67335299999999998</v>
      </c>
      <c r="R37">
        <v>1.9190739999999999</v>
      </c>
      <c r="S37">
        <v>31416</v>
      </c>
      <c r="T37">
        <v>14793</v>
      </c>
      <c r="U37">
        <v>500080</v>
      </c>
      <c r="V37">
        <v>267229</v>
      </c>
      <c r="W37" s="2">
        <v>46402</v>
      </c>
      <c r="X37">
        <v>218636</v>
      </c>
      <c r="Y37">
        <v>834</v>
      </c>
    </row>
    <row r="38" spans="1:25">
      <c r="A38" t="s">
        <v>53</v>
      </c>
      <c r="B38">
        <v>3</v>
      </c>
      <c r="C38" s="2">
        <v>46168</v>
      </c>
      <c r="D38" s="1">
        <v>305.61500000000001</v>
      </c>
      <c r="E38" s="1">
        <v>260</v>
      </c>
      <c r="F38" s="1">
        <v>75</v>
      </c>
      <c r="G38" s="1">
        <v>23</v>
      </c>
      <c r="H38" s="1">
        <v>2400073.5</v>
      </c>
      <c r="I38" s="1">
        <v>828144.25000000023</v>
      </c>
      <c r="J38" s="1">
        <v>-742182702.9599998</v>
      </c>
      <c r="K38" s="1">
        <v>9467575110.3700047</v>
      </c>
      <c r="L38">
        <v>1.117</v>
      </c>
      <c r="M38">
        <v>0.65</v>
      </c>
      <c r="N38">
        <v>1.4530000000000001</v>
      </c>
      <c r="O38">
        <v>58.106400000000001</v>
      </c>
      <c r="P38">
        <v>1.153789</v>
      </c>
      <c r="Q38">
        <v>0.53415299999999999</v>
      </c>
      <c r="R38">
        <v>1.3980760000000001</v>
      </c>
      <c r="S38">
        <v>17847</v>
      </c>
      <c r="T38">
        <v>31284</v>
      </c>
      <c r="U38">
        <v>337621</v>
      </c>
      <c r="V38">
        <v>412293</v>
      </c>
      <c r="W38" s="2">
        <v>46191</v>
      </c>
      <c r="X38">
        <v>223112</v>
      </c>
      <c r="Y38">
        <v>6901</v>
      </c>
    </row>
    <row r="39" spans="1:25">
      <c r="A39" t="s">
        <v>54</v>
      </c>
      <c r="B39">
        <v>1</v>
      </c>
      <c r="C39" s="2">
        <v>46168</v>
      </c>
      <c r="D39" s="1">
        <v>58.765000000000001</v>
      </c>
      <c r="E39" s="1">
        <v>60</v>
      </c>
      <c r="F39" s="1">
        <v>45</v>
      </c>
      <c r="G39" s="1">
        <v>33</v>
      </c>
      <c r="H39" s="1">
        <v>-58599164.770000003</v>
      </c>
      <c r="I39" s="1">
        <v>5265991.3000000035</v>
      </c>
      <c r="J39" s="1">
        <v>-433639128.54000014</v>
      </c>
      <c r="K39" s="1">
        <v>1265692791.6700001</v>
      </c>
      <c r="L39">
        <v>0.29499999999999998</v>
      </c>
      <c r="M39">
        <v>0.17599999999999999</v>
      </c>
      <c r="N39">
        <v>0.34</v>
      </c>
      <c r="O39">
        <v>74.428700000000006</v>
      </c>
      <c r="P39">
        <v>0.27567900000000001</v>
      </c>
      <c r="Q39">
        <v>0.112399</v>
      </c>
      <c r="R39">
        <v>0.278499</v>
      </c>
      <c r="S39">
        <v>46407</v>
      </c>
      <c r="T39">
        <v>29694</v>
      </c>
      <c r="U39">
        <v>1838954</v>
      </c>
      <c r="V39">
        <v>3214098</v>
      </c>
      <c r="W39" s="2">
        <v>46191</v>
      </c>
      <c r="X39">
        <v>1546052</v>
      </c>
      <c r="Y39">
        <v>22479</v>
      </c>
    </row>
    <row r="40" spans="1:25">
      <c r="A40" t="s">
        <v>55</v>
      </c>
      <c r="B40">
        <v>2</v>
      </c>
      <c r="C40" s="2">
        <v>46168</v>
      </c>
      <c r="D40" s="1">
        <v>145.22999999999999</v>
      </c>
      <c r="E40" s="1">
        <v>90</v>
      </c>
      <c r="F40" s="1">
        <v>60</v>
      </c>
      <c r="G40" s="1">
        <v>1</v>
      </c>
      <c r="H40" s="1">
        <v>-652073.52999999991</v>
      </c>
      <c r="I40" s="1">
        <v>-227102.22999999998</v>
      </c>
      <c r="J40" s="1">
        <v>-82243984.799999997</v>
      </c>
      <c r="K40" s="1">
        <v>1849173274.7900002</v>
      </c>
      <c r="L40">
        <v>1.0489999999999999</v>
      </c>
      <c r="M40">
        <v>0.66700000000000004</v>
      </c>
      <c r="N40">
        <v>1.1359999999999999</v>
      </c>
      <c r="O40">
        <v>77.564400000000006</v>
      </c>
      <c r="P40">
        <v>1.2997989999999999</v>
      </c>
      <c r="Q40">
        <v>0.49542599999999998</v>
      </c>
      <c r="R40">
        <v>1.346719</v>
      </c>
      <c r="S40">
        <v>75416</v>
      </c>
      <c r="T40">
        <v>45755</v>
      </c>
      <c r="U40">
        <v>521809</v>
      </c>
      <c r="V40">
        <v>405453</v>
      </c>
      <c r="W40" s="2">
        <v>46402</v>
      </c>
      <c r="X40">
        <v>196697</v>
      </c>
      <c r="Y40">
        <v>2680</v>
      </c>
    </row>
    <row r="41" spans="1:25">
      <c r="A41" t="s">
        <v>56</v>
      </c>
      <c r="B41">
        <v>2</v>
      </c>
      <c r="C41" s="2">
        <v>46168</v>
      </c>
      <c r="D41" s="1">
        <v>26.18</v>
      </c>
      <c r="E41" s="1">
        <v>30</v>
      </c>
      <c r="F41" s="1">
        <v>15</v>
      </c>
      <c r="G41" s="1">
        <v>10.5</v>
      </c>
      <c r="H41" s="1">
        <v>6813967.7199999988</v>
      </c>
      <c r="I41" s="1">
        <v>607974.5</v>
      </c>
      <c r="J41" s="1">
        <v>-319123940.25000006</v>
      </c>
      <c r="K41" s="1">
        <v>171514057.23000002</v>
      </c>
      <c r="L41">
        <v>0.82199999999999995</v>
      </c>
      <c r="M41">
        <v>0.66600000000000004</v>
      </c>
      <c r="N41">
        <v>1.1220000000000001</v>
      </c>
      <c r="O41">
        <v>34.188000000000002</v>
      </c>
      <c r="P41">
        <v>0.88039699999999999</v>
      </c>
      <c r="Q41">
        <v>0.52294700000000005</v>
      </c>
      <c r="R41">
        <v>1.2444189999999999</v>
      </c>
      <c r="S41">
        <v>49757</v>
      </c>
      <c r="T41">
        <v>11464</v>
      </c>
      <c r="U41">
        <v>511667</v>
      </c>
      <c r="V41">
        <v>254989</v>
      </c>
      <c r="W41" s="2">
        <v>46191</v>
      </c>
      <c r="X41">
        <v>274146</v>
      </c>
      <c r="Y41">
        <v>12978</v>
      </c>
    </row>
    <row r="42" spans="1:25">
      <c r="A42" t="s">
        <v>57</v>
      </c>
      <c r="B42">
        <v>2</v>
      </c>
      <c r="C42" s="2">
        <v>46168</v>
      </c>
      <c r="D42" s="1">
        <v>184.94</v>
      </c>
      <c r="E42" s="1">
        <v>300</v>
      </c>
      <c r="F42" s="1">
        <v>200</v>
      </c>
      <c r="G42" s="1">
        <v>15</v>
      </c>
      <c r="H42" s="1">
        <v>-3131130.9500000016</v>
      </c>
      <c r="I42" s="1">
        <v>1300606.3499999994</v>
      </c>
      <c r="J42" s="1">
        <v>-2765036834.8400016</v>
      </c>
      <c r="K42" s="1">
        <v>684381790.01999998</v>
      </c>
      <c r="L42">
        <v>0.66300000000000003</v>
      </c>
      <c r="M42">
        <v>0.47699999999999998</v>
      </c>
      <c r="N42">
        <v>0.95699999999999996</v>
      </c>
      <c r="O42">
        <v>43.049100000000003</v>
      </c>
      <c r="P42">
        <v>0.64912899999999996</v>
      </c>
      <c r="Q42">
        <v>0.380583</v>
      </c>
      <c r="R42">
        <v>1.228315</v>
      </c>
      <c r="S42">
        <v>24091</v>
      </c>
      <c r="T42">
        <v>9667</v>
      </c>
      <c r="U42">
        <v>587051</v>
      </c>
      <c r="V42">
        <v>466333</v>
      </c>
      <c r="W42" s="2">
        <v>46191</v>
      </c>
      <c r="X42">
        <v>235887</v>
      </c>
      <c r="Y42">
        <v>4515</v>
      </c>
    </row>
    <row r="43" spans="1:25">
      <c r="A43" t="s">
        <v>58</v>
      </c>
      <c r="B43">
        <v>2</v>
      </c>
      <c r="C43" s="2">
        <v>46168</v>
      </c>
      <c r="D43" s="1">
        <v>165.17</v>
      </c>
      <c r="E43" s="1">
        <v>180</v>
      </c>
      <c r="F43" s="1">
        <v>5</v>
      </c>
      <c r="G43" s="1">
        <v>6</v>
      </c>
      <c r="H43" s="1">
        <v>-1107572.6000000001</v>
      </c>
      <c r="I43" s="1">
        <v>-353650.35999999993</v>
      </c>
      <c r="J43" s="1">
        <v>67377000.069999978</v>
      </c>
      <c r="K43" s="1">
        <v>621604841.52999997</v>
      </c>
      <c r="L43">
        <v>0.64700000000000002</v>
      </c>
      <c r="M43">
        <v>0.436</v>
      </c>
      <c r="N43">
        <v>1.264</v>
      </c>
      <c r="O43">
        <v>26.614599999999999</v>
      </c>
      <c r="P43">
        <v>0.64337800000000001</v>
      </c>
      <c r="Q43">
        <v>0.32463900000000001</v>
      </c>
      <c r="R43">
        <v>1.310859</v>
      </c>
      <c r="S43">
        <v>71557</v>
      </c>
      <c r="T43">
        <v>41368</v>
      </c>
      <c r="U43">
        <v>1271381</v>
      </c>
      <c r="V43">
        <v>1182735</v>
      </c>
      <c r="W43" s="2">
        <v>46191</v>
      </c>
      <c r="X43">
        <v>700741</v>
      </c>
      <c r="Y43">
        <v>10862</v>
      </c>
    </row>
    <row r="44" spans="1:25">
      <c r="A44" t="s">
        <v>59</v>
      </c>
      <c r="B44">
        <v>2</v>
      </c>
      <c r="C44" s="2">
        <v>46168</v>
      </c>
      <c r="D44" s="1">
        <v>178.4</v>
      </c>
      <c r="E44" s="1">
        <v>200</v>
      </c>
      <c r="F44" s="1">
        <v>140</v>
      </c>
      <c r="G44" s="1">
        <v>101</v>
      </c>
      <c r="H44" s="1">
        <v>-7349705.5099999998</v>
      </c>
      <c r="I44" s="1">
        <v>-529985.37</v>
      </c>
      <c r="J44" s="1">
        <v>-125723244.54000002</v>
      </c>
      <c r="K44" s="1">
        <v>212631604.56</v>
      </c>
      <c r="L44">
        <v>0.81899999999999995</v>
      </c>
      <c r="M44">
        <v>0.30399999999999999</v>
      </c>
      <c r="N44">
        <v>0.875</v>
      </c>
      <c r="O44">
        <v>90.175700000000006</v>
      </c>
      <c r="P44">
        <v>0.47960799999999998</v>
      </c>
      <c r="Q44">
        <v>0.195775</v>
      </c>
      <c r="R44">
        <v>0.871147</v>
      </c>
      <c r="S44">
        <v>22072</v>
      </c>
      <c r="T44">
        <v>13440</v>
      </c>
      <c r="U44">
        <v>302952</v>
      </c>
      <c r="V44">
        <v>243738</v>
      </c>
      <c r="W44" s="2">
        <v>46191</v>
      </c>
      <c r="X44">
        <v>110623</v>
      </c>
      <c r="Y44">
        <v>6534</v>
      </c>
    </row>
    <row r="45" spans="1:25">
      <c r="A45" t="s">
        <v>60</v>
      </c>
      <c r="B45">
        <v>2</v>
      </c>
      <c r="C45" s="2">
        <v>46168</v>
      </c>
      <c r="D45" s="1">
        <v>1076.635</v>
      </c>
      <c r="E45" s="1">
        <v>1100</v>
      </c>
      <c r="F45" s="1">
        <v>600</v>
      </c>
      <c r="G45" s="1">
        <v>350</v>
      </c>
      <c r="H45" s="1">
        <v>72987598.960000023</v>
      </c>
      <c r="I45" s="1">
        <v>3784618.9600000009</v>
      </c>
      <c r="J45" s="1">
        <v>-2267114240.3499999</v>
      </c>
      <c r="K45" s="1">
        <v>22714504612.429993</v>
      </c>
      <c r="L45">
        <v>0.32500000000000001</v>
      </c>
      <c r="M45">
        <v>0.26700000000000002</v>
      </c>
      <c r="N45">
        <v>0.48</v>
      </c>
      <c r="O45">
        <v>23.889600000000002</v>
      </c>
      <c r="P45">
        <v>0.427979</v>
      </c>
      <c r="Q45">
        <v>0.19935900000000001</v>
      </c>
      <c r="R45">
        <v>0.67494200000000004</v>
      </c>
      <c r="S45">
        <v>10202</v>
      </c>
      <c r="T45">
        <v>10366</v>
      </c>
      <c r="U45">
        <v>152815</v>
      </c>
      <c r="V45">
        <v>172932</v>
      </c>
      <c r="W45" s="2">
        <v>46191</v>
      </c>
      <c r="X45">
        <v>86611</v>
      </c>
      <c r="Y45">
        <v>4839</v>
      </c>
    </row>
    <row r="46" spans="1:25">
      <c r="A46" t="s">
        <v>61</v>
      </c>
      <c r="B46">
        <v>2</v>
      </c>
      <c r="C46" s="2">
        <v>46168</v>
      </c>
      <c r="D46" s="1">
        <v>230.15</v>
      </c>
      <c r="E46" s="1">
        <v>230</v>
      </c>
      <c r="F46" s="1">
        <v>210</v>
      </c>
      <c r="G46" s="1">
        <v>265</v>
      </c>
      <c r="H46" s="1">
        <v>30558612.450000003</v>
      </c>
      <c r="I46" s="1">
        <v>2645818.85</v>
      </c>
      <c r="J46" s="1">
        <v>-971972234.30000007</v>
      </c>
      <c r="K46" s="1">
        <v>2694704840.79</v>
      </c>
      <c r="L46">
        <v>0.218</v>
      </c>
      <c r="M46">
        <v>0.123</v>
      </c>
      <c r="N46">
        <v>0.29299999999999998</v>
      </c>
      <c r="O46">
        <v>52.221600000000002</v>
      </c>
      <c r="P46">
        <v>0.188861</v>
      </c>
      <c r="Q46">
        <v>9.6906000000000006E-2</v>
      </c>
      <c r="R46">
        <v>0.26283200000000001</v>
      </c>
      <c r="S46">
        <v>3531</v>
      </c>
      <c r="T46">
        <v>1867</v>
      </c>
      <c r="U46">
        <v>178126</v>
      </c>
      <c r="V46">
        <v>158304</v>
      </c>
      <c r="W46" s="2">
        <v>46191</v>
      </c>
      <c r="X46">
        <v>80235</v>
      </c>
      <c r="Y46">
        <v>1311</v>
      </c>
    </row>
    <row r="47" spans="1:25">
      <c r="A47" t="s">
        <v>62</v>
      </c>
      <c r="B47">
        <v>2</v>
      </c>
      <c r="C47" s="2">
        <v>46168</v>
      </c>
      <c r="D47" s="1">
        <v>379.7</v>
      </c>
      <c r="E47" s="1">
        <v>400</v>
      </c>
      <c r="F47" s="1">
        <v>200</v>
      </c>
      <c r="G47" s="1">
        <v>215</v>
      </c>
      <c r="H47" s="1">
        <v>-17532743.130000006</v>
      </c>
      <c r="I47" s="1">
        <v>1722670.9700000004</v>
      </c>
      <c r="J47" s="1">
        <v>-1316103059.8899999</v>
      </c>
      <c r="K47" s="1">
        <v>21826272559.68</v>
      </c>
      <c r="L47">
        <v>0.27200000000000002</v>
      </c>
      <c r="M47">
        <v>0.246</v>
      </c>
      <c r="N47">
        <v>0.54500000000000004</v>
      </c>
      <c r="O47">
        <v>10.0969</v>
      </c>
      <c r="P47">
        <v>0.25220900000000002</v>
      </c>
      <c r="Q47">
        <v>0.205176</v>
      </c>
      <c r="R47">
        <v>0.913601</v>
      </c>
      <c r="S47">
        <v>16552</v>
      </c>
      <c r="T47">
        <v>10959</v>
      </c>
      <c r="U47">
        <v>716985</v>
      </c>
      <c r="V47">
        <v>477150</v>
      </c>
      <c r="W47" s="2">
        <v>46191</v>
      </c>
      <c r="X47">
        <v>307485</v>
      </c>
      <c r="Y47">
        <v>5644</v>
      </c>
    </row>
    <row r="48" spans="1:25">
      <c r="A48" t="s">
        <v>63</v>
      </c>
      <c r="B48">
        <v>2</v>
      </c>
      <c r="C48" s="2">
        <v>46168</v>
      </c>
      <c r="D48" s="1">
        <v>125.11</v>
      </c>
      <c r="E48" s="1">
        <v>130</v>
      </c>
      <c r="F48" s="1">
        <v>100</v>
      </c>
      <c r="G48" s="1">
        <v>99</v>
      </c>
      <c r="H48" s="1">
        <v>17403379.829999998</v>
      </c>
      <c r="I48" s="1">
        <v>1213655.5099999998</v>
      </c>
      <c r="J48" s="1">
        <v>-544347609.85000002</v>
      </c>
      <c r="K48" s="1">
        <v>1402063222.8699996</v>
      </c>
      <c r="L48">
        <v>0.33200000000000002</v>
      </c>
      <c r="M48">
        <v>0.28399999999999997</v>
      </c>
      <c r="N48">
        <v>0.53500000000000003</v>
      </c>
      <c r="O48">
        <v>20.2103</v>
      </c>
      <c r="P48">
        <v>0.35597699999999999</v>
      </c>
      <c r="Q48">
        <v>0.16780300000000001</v>
      </c>
      <c r="R48">
        <v>0.40759499999999999</v>
      </c>
      <c r="S48">
        <v>6626</v>
      </c>
      <c r="T48">
        <v>2256</v>
      </c>
      <c r="U48">
        <v>280072</v>
      </c>
      <c r="V48">
        <v>230642</v>
      </c>
      <c r="W48" s="2">
        <v>46402</v>
      </c>
      <c r="X48">
        <v>121440</v>
      </c>
      <c r="Y48">
        <v>208</v>
      </c>
    </row>
    <row r="49" spans="1:25">
      <c r="A49" t="s">
        <v>64</v>
      </c>
      <c r="B49">
        <v>2</v>
      </c>
      <c r="C49" s="2">
        <v>46168</v>
      </c>
      <c r="D49" s="1">
        <v>310.17</v>
      </c>
      <c r="E49" s="1">
        <v>360</v>
      </c>
      <c r="F49" s="1">
        <v>300</v>
      </c>
      <c r="G49" s="1">
        <v>155</v>
      </c>
      <c r="H49" s="1">
        <v>-6235356.7800000012</v>
      </c>
      <c r="I49" s="1">
        <v>941757.45</v>
      </c>
      <c r="J49" s="1">
        <v>-766223879.76999998</v>
      </c>
      <c r="K49" s="1">
        <v>-708947809.04000008</v>
      </c>
      <c r="L49">
        <v>0.30599999999999999</v>
      </c>
      <c r="M49">
        <v>0.17499999999999999</v>
      </c>
      <c r="N49">
        <v>0.35299999999999998</v>
      </c>
      <c r="O49">
        <v>69.901300000000006</v>
      </c>
      <c r="P49">
        <v>0.26754899999999998</v>
      </c>
      <c r="Q49">
        <v>9.7514000000000003E-2</v>
      </c>
      <c r="R49">
        <v>0.34395900000000001</v>
      </c>
      <c r="S49">
        <v>6246</v>
      </c>
      <c r="T49">
        <v>4448</v>
      </c>
      <c r="U49">
        <v>160253</v>
      </c>
      <c r="V49">
        <v>114762</v>
      </c>
      <c r="W49" s="2">
        <v>46191</v>
      </c>
      <c r="X49">
        <v>73637</v>
      </c>
      <c r="Y49">
        <v>2677</v>
      </c>
    </row>
    <row r="50" spans="1:25">
      <c r="A50" t="s">
        <v>65</v>
      </c>
      <c r="B50">
        <v>2</v>
      </c>
      <c r="C50" s="2">
        <v>46168</v>
      </c>
      <c r="D50" s="1">
        <v>999.4</v>
      </c>
      <c r="E50" s="1">
        <v>1100</v>
      </c>
      <c r="F50" s="1">
        <v>800</v>
      </c>
      <c r="G50" s="1">
        <v>440</v>
      </c>
      <c r="H50" s="1">
        <v>3766869.4399999939</v>
      </c>
      <c r="I50" s="1">
        <v>4411558.8399999989</v>
      </c>
      <c r="J50" s="1">
        <v>-3876441585.3700013</v>
      </c>
      <c r="K50" s="1">
        <v>5505359090.670001</v>
      </c>
      <c r="L50">
        <v>0.27100000000000002</v>
      </c>
      <c r="M50">
        <v>0.17299999999999999</v>
      </c>
      <c r="N50">
        <v>0.29799999999999999</v>
      </c>
      <c r="O50">
        <v>77.381</v>
      </c>
      <c r="P50">
        <v>0.25450899999999999</v>
      </c>
      <c r="Q50">
        <v>0.104446</v>
      </c>
      <c r="R50">
        <v>0.25450899999999999</v>
      </c>
      <c r="S50">
        <v>11445</v>
      </c>
      <c r="T50">
        <v>16073</v>
      </c>
      <c r="U50">
        <v>107210</v>
      </c>
      <c r="V50">
        <v>131265</v>
      </c>
      <c r="W50" s="2">
        <v>46191</v>
      </c>
      <c r="X50">
        <v>55701</v>
      </c>
      <c r="Y50">
        <v>4731</v>
      </c>
    </row>
    <row r="51" spans="1:25">
      <c r="A51" t="s">
        <v>66</v>
      </c>
      <c r="B51">
        <v>2</v>
      </c>
      <c r="C51" s="2">
        <v>46168</v>
      </c>
      <c r="D51" s="1">
        <v>118.98</v>
      </c>
      <c r="E51" s="1">
        <v>135</v>
      </c>
      <c r="F51" s="1">
        <v>110</v>
      </c>
      <c r="G51" s="1">
        <v>106</v>
      </c>
      <c r="H51" s="1">
        <v>-52031278.639999993</v>
      </c>
      <c r="I51" s="1">
        <v>3519155.53</v>
      </c>
      <c r="J51" s="1">
        <v>-1259158519.79</v>
      </c>
      <c r="K51" s="1">
        <v>226736311.08000004</v>
      </c>
      <c r="L51">
        <v>0.254</v>
      </c>
      <c r="M51">
        <v>0.18</v>
      </c>
      <c r="N51">
        <v>0.36899999999999999</v>
      </c>
      <c r="O51">
        <v>36.372599999999998</v>
      </c>
      <c r="P51">
        <v>0.335561</v>
      </c>
      <c r="Q51">
        <v>9.0486999999999998E-2</v>
      </c>
      <c r="R51">
        <v>0.34728700000000001</v>
      </c>
      <c r="S51">
        <v>38123</v>
      </c>
      <c r="T51">
        <v>20330</v>
      </c>
      <c r="U51">
        <v>485336</v>
      </c>
      <c r="V51">
        <v>477241</v>
      </c>
      <c r="W51" s="2">
        <v>46191</v>
      </c>
      <c r="X51">
        <v>261527</v>
      </c>
      <c r="Y51">
        <v>7302</v>
      </c>
    </row>
    <row r="52" spans="1:25">
      <c r="A52" t="s">
        <v>67</v>
      </c>
      <c r="B52">
        <v>1</v>
      </c>
      <c r="C52" s="2">
        <v>46168</v>
      </c>
      <c r="D52" s="1">
        <v>200.71</v>
      </c>
      <c r="E52" s="1">
        <v>200</v>
      </c>
      <c r="F52" s="1">
        <v>160</v>
      </c>
      <c r="G52" s="1">
        <v>50</v>
      </c>
      <c r="H52" s="1">
        <v>34683641.589999996</v>
      </c>
      <c r="I52" s="1">
        <v>1821027.26</v>
      </c>
      <c r="J52" s="1">
        <v>-700709360.32000005</v>
      </c>
      <c r="K52" s="1">
        <v>3157784785.3199997</v>
      </c>
      <c r="L52">
        <v>0.28399999999999997</v>
      </c>
      <c r="M52">
        <v>0.21199999999999999</v>
      </c>
      <c r="N52">
        <v>0.44600000000000001</v>
      </c>
      <c r="O52">
        <v>27.716000000000001</v>
      </c>
      <c r="P52">
        <v>0.23386999999999999</v>
      </c>
      <c r="Q52">
        <v>0.14224100000000001</v>
      </c>
      <c r="R52">
        <v>0.42757099999999998</v>
      </c>
      <c r="S52">
        <v>4634</v>
      </c>
      <c r="T52">
        <v>2265</v>
      </c>
      <c r="U52">
        <v>155000</v>
      </c>
      <c r="V52">
        <v>224078</v>
      </c>
      <c r="W52" s="2">
        <v>46191</v>
      </c>
      <c r="X52">
        <v>101991</v>
      </c>
      <c r="Y52">
        <v>2108</v>
      </c>
    </row>
    <row r="53" spans="1:25">
      <c r="A53" t="s">
        <v>68</v>
      </c>
      <c r="B53">
        <v>1</v>
      </c>
      <c r="C53" s="2">
        <v>46168</v>
      </c>
      <c r="D53" s="1">
        <v>994.13</v>
      </c>
      <c r="E53" s="1">
        <v>1000</v>
      </c>
      <c r="F53" s="1">
        <v>800</v>
      </c>
      <c r="G53" s="1">
        <v>220</v>
      </c>
      <c r="H53" s="1">
        <v>-1130316.06</v>
      </c>
      <c r="I53" s="1">
        <v>187704.46</v>
      </c>
      <c r="J53" s="1">
        <v>-62925494.700000025</v>
      </c>
      <c r="K53" s="1">
        <v>4933870893.46</v>
      </c>
      <c r="L53">
        <v>0.30399999999999999</v>
      </c>
      <c r="M53">
        <v>0.224</v>
      </c>
      <c r="N53">
        <v>0.45800000000000002</v>
      </c>
      <c r="O53">
        <v>36.006799999999998</v>
      </c>
      <c r="P53">
        <v>0.29366500000000001</v>
      </c>
      <c r="Q53">
        <v>0.16466</v>
      </c>
      <c r="R53">
        <v>0.43199199999999999</v>
      </c>
      <c r="S53">
        <v>8049</v>
      </c>
      <c r="T53">
        <v>6373</v>
      </c>
      <c r="U53">
        <v>197932</v>
      </c>
      <c r="V53">
        <v>178310</v>
      </c>
      <c r="W53" s="2">
        <v>46191</v>
      </c>
      <c r="X53">
        <v>66838</v>
      </c>
      <c r="Y53">
        <v>3344</v>
      </c>
    </row>
    <row r="54" spans="1:25">
      <c r="A54" t="s">
        <v>69</v>
      </c>
      <c r="B54">
        <v>1</v>
      </c>
      <c r="C54" s="2">
        <v>46168</v>
      </c>
      <c r="D54" s="1">
        <v>307.03500000000003</v>
      </c>
      <c r="E54" s="1">
        <v>320</v>
      </c>
      <c r="F54" s="1">
        <v>280</v>
      </c>
      <c r="G54" s="1">
        <v>272.5</v>
      </c>
      <c r="H54" s="1">
        <v>-5424543.9799999986</v>
      </c>
      <c r="I54" s="1">
        <v>7482577.1599999983</v>
      </c>
      <c r="J54" s="1">
        <v>-3380871062.1400003</v>
      </c>
      <c r="K54" s="1">
        <v>2982039953.1200008</v>
      </c>
      <c r="L54">
        <v>0.24199999999999999</v>
      </c>
      <c r="M54">
        <v>0.18</v>
      </c>
      <c r="N54">
        <v>0.36499999999999999</v>
      </c>
      <c r="O54">
        <v>29.534199999999998</v>
      </c>
      <c r="P54">
        <v>0.208847</v>
      </c>
      <c r="Q54">
        <v>0.11830599999999999</v>
      </c>
      <c r="R54">
        <v>0.30803199999999997</v>
      </c>
      <c r="S54">
        <v>11168</v>
      </c>
      <c r="T54">
        <v>12831</v>
      </c>
      <c r="U54">
        <v>316021</v>
      </c>
      <c r="V54">
        <v>354492</v>
      </c>
      <c r="W54" s="2">
        <v>46191</v>
      </c>
      <c r="X54">
        <v>190501</v>
      </c>
      <c r="Y54">
        <v>5855</v>
      </c>
    </row>
    <row r="55" spans="1:25">
      <c r="A55" t="s">
        <v>70</v>
      </c>
      <c r="B55">
        <v>1</v>
      </c>
      <c r="C55" s="2">
        <v>46168</v>
      </c>
      <c r="D55" s="1">
        <v>52.155000000000001</v>
      </c>
      <c r="E55" s="1">
        <v>55</v>
      </c>
      <c r="F55" s="1">
        <v>47</v>
      </c>
      <c r="G55" s="1">
        <v>66</v>
      </c>
      <c r="H55" s="1">
        <v>44731293.239999995</v>
      </c>
      <c r="I55" s="1">
        <v>5239369.3599999994</v>
      </c>
      <c r="J55" s="1">
        <v>-1912911581.9800003</v>
      </c>
      <c r="K55" s="1">
        <v>641083471.09000027</v>
      </c>
      <c r="L55">
        <v>0.25600000000000001</v>
      </c>
      <c r="M55">
        <v>0.19800000000000001</v>
      </c>
      <c r="N55">
        <v>0.38600000000000001</v>
      </c>
      <c r="O55">
        <v>29.1494</v>
      </c>
      <c r="P55">
        <v>0.20133699999999999</v>
      </c>
      <c r="Q55">
        <v>0.13091700000000001</v>
      </c>
      <c r="R55">
        <v>0.33336300000000002</v>
      </c>
      <c r="S55">
        <v>49082</v>
      </c>
      <c r="T55">
        <v>16206</v>
      </c>
      <c r="U55">
        <v>1082712</v>
      </c>
      <c r="V55">
        <v>1356533</v>
      </c>
      <c r="W55" s="2">
        <v>46191</v>
      </c>
      <c r="X55">
        <v>763890</v>
      </c>
      <c r="Y55">
        <v>10731</v>
      </c>
    </row>
    <row r="56" spans="1:25">
      <c r="A56" t="s">
        <v>71</v>
      </c>
      <c r="B56">
        <v>2</v>
      </c>
      <c r="C56" s="2">
        <v>46168</v>
      </c>
      <c r="D56" s="1">
        <v>90.185000000000002</v>
      </c>
      <c r="E56" s="1">
        <v>95</v>
      </c>
      <c r="F56" s="1">
        <v>85</v>
      </c>
      <c r="G56" s="1">
        <v>104</v>
      </c>
      <c r="H56" s="1">
        <v>-11072447.049999997</v>
      </c>
      <c r="I56" s="1">
        <v>1210361.0799999998</v>
      </c>
      <c r="J56" s="1">
        <v>-442205710.45999998</v>
      </c>
      <c r="K56" s="1">
        <v>-70078542.019999981</v>
      </c>
      <c r="L56">
        <v>0.27600000000000002</v>
      </c>
      <c r="M56">
        <v>0.193</v>
      </c>
      <c r="N56">
        <v>0.38</v>
      </c>
      <c r="O56">
        <v>43.271799999999999</v>
      </c>
      <c r="P56">
        <v>0.22275700000000001</v>
      </c>
      <c r="Q56">
        <v>0.114786</v>
      </c>
      <c r="R56">
        <v>0.39500800000000003</v>
      </c>
      <c r="S56">
        <v>4487</v>
      </c>
      <c r="T56">
        <v>3688</v>
      </c>
      <c r="U56">
        <v>198963</v>
      </c>
      <c r="V56">
        <v>221144</v>
      </c>
      <c r="W56" s="2">
        <v>46191</v>
      </c>
      <c r="X56">
        <v>133678</v>
      </c>
      <c r="Y56">
        <v>1146</v>
      </c>
    </row>
    <row r="57" spans="1:25">
      <c r="A57" t="s">
        <v>72</v>
      </c>
      <c r="B57">
        <v>2</v>
      </c>
      <c r="C57" s="2">
        <v>46168</v>
      </c>
      <c r="D57" s="1">
        <v>16.125</v>
      </c>
      <c r="E57" s="1">
        <v>20</v>
      </c>
      <c r="F57" s="1">
        <v>15</v>
      </c>
      <c r="G57" s="1">
        <v>4</v>
      </c>
      <c r="H57" s="1">
        <v>11609052.160000004</v>
      </c>
      <c r="I57" s="1">
        <v>4054136.19</v>
      </c>
      <c r="J57" s="1">
        <v>-1614286401.4800007</v>
      </c>
      <c r="K57" s="1">
        <v>91951994.319999963</v>
      </c>
      <c r="L57">
        <v>0.54800000000000004</v>
      </c>
      <c r="M57">
        <v>0.46500000000000002</v>
      </c>
      <c r="N57">
        <v>0.88700000000000001</v>
      </c>
      <c r="O57">
        <v>14.751799999999999</v>
      </c>
      <c r="P57">
        <v>0.69919200000000004</v>
      </c>
      <c r="Q57">
        <v>0.34528399999999998</v>
      </c>
      <c r="R57">
        <v>0.88773000000000002</v>
      </c>
      <c r="S57">
        <v>233896</v>
      </c>
      <c r="T57">
        <v>64215</v>
      </c>
      <c r="U57">
        <v>2762066</v>
      </c>
      <c r="V57">
        <v>1427906</v>
      </c>
      <c r="W57" s="2">
        <v>46191</v>
      </c>
      <c r="X57">
        <v>823923</v>
      </c>
      <c r="Y57">
        <v>36505</v>
      </c>
    </row>
    <row r="58" spans="1:25">
      <c r="A58" t="s">
        <v>73</v>
      </c>
      <c r="B58">
        <v>1</v>
      </c>
      <c r="C58" s="2">
        <v>46168</v>
      </c>
      <c r="D58" s="1">
        <v>77.064999999999998</v>
      </c>
      <c r="E58" s="1">
        <v>90</v>
      </c>
      <c r="F58" s="1">
        <v>70</v>
      </c>
      <c r="G58" s="1">
        <v>91</v>
      </c>
      <c r="H58" s="1">
        <v>-31654540.829999998</v>
      </c>
      <c r="I58" s="1">
        <v>2449933.7300000004</v>
      </c>
      <c r="J58" s="1">
        <v>-919017264.8499999</v>
      </c>
      <c r="K58" s="1">
        <v>-191155113.16</v>
      </c>
      <c r="L58">
        <v>0.29199999999999998</v>
      </c>
      <c r="M58">
        <v>0.21099999999999999</v>
      </c>
      <c r="N58">
        <v>0.433</v>
      </c>
      <c r="O58">
        <v>39.264899999999997</v>
      </c>
      <c r="P58">
        <v>0.271561</v>
      </c>
      <c r="Q58">
        <v>0.15309900000000001</v>
      </c>
      <c r="R58">
        <v>0.37271399999999999</v>
      </c>
      <c r="S58">
        <v>6185</v>
      </c>
      <c r="T58">
        <v>8063</v>
      </c>
      <c r="U58">
        <v>424489</v>
      </c>
      <c r="V58">
        <v>654277</v>
      </c>
      <c r="W58" s="2">
        <v>46191</v>
      </c>
      <c r="X58">
        <v>328232</v>
      </c>
      <c r="Y58">
        <v>4670</v>
      </c>
    </row>
    <row r="59" spans="1:25">
      <c r="A59" t="s">
        <v>74</v>
      </c>
      <c r="B59">
        <v>2</v>
      </c>
      <c r="C59" s="2">
        <v>46168</v>
      </c>
      <c r="D59" s="1">
        <v>14.58</v>
      </c>
      <c r="E59" s="1">
        <v>20</v>
      </c>
      <c r="F59" s="1">
        <v>5</v>
      </c>
      <c r="G59" s="1">
        <v>6</v>
      </c>
      <c r="H59" s="1">
        <v>5692745.3199999994</v>
      </c>
      <c r="I59" s="1">
        <v>1980227.72</v>
      </c>
      <c r="J59" s="1">
        <v>-537258359.44999993</v>
      </c>
      <c r="K59" s="1">
        <v>33918239.030000001</v>
      </c>
      <c r="L59">
        <v>0.59899999999999998</v>
      </c>
      <c r="M59">
        <v>0.47</v>
      </c>
      <c r="N59">
        <v>0.876</v>
      </c>
      <c r="O59">
        <v>23.306999999999999</v>
      </c>
      <c r="P59">
        <v>0.52602300000000002</v>
      </c>
      <c r="Q59">
        <v>0.32788699999999998</v>
      </c>
      <c r="R59">
        <v>1.016713</v>
      </c>
      <c r="S59">
        <v>40705</v>
      </c>
      <c r="T59">
        <v>6290</v>
      </c>
      <c r="U59">
        <v>1286979</v>
      </c>
      <c r="V59">
        <v>1084243</v>
      </c>
      <c r="W59" s="2">
        <v>46191</v>
      </c>
      <c r="X59">
        <v>480667</v>
      </c>
      <c r="Y59">
        <v>8519</v>
      </c>
    </row>
    <row r="60" spans="1:25">
      <c r="A60" t="s">
        <v>75</v>
      </c>
      <c r="B60">
        <v>1</v>
      </c>
      <c r="C60" s="2">
        <v>46168</v>
      </c>
      <c r="D60" s="1">
        <v>51.895000000000003</v>
      </c>
      <c r="E60" s="1">
        <v>55</v>
      </c>
      <c r="F60" s="1">
        <v>50</v>
      </c>
      <c r="G60" s="1">
        <v>24</v>
      </c>
      <c r="H60" s="1">
        <v>-231507205.82000011</v>
      </c>
      <c r="I60" s="1">
        <v>15833283.369999999</v>
      </c>
      <c r="J60" s="1">
        <v>-2906251330.7399998</v>
      </c>
      <c r="K60" s="1">
        <v>-614981906.57000017</v>
      </c>
      <c r="L60">
        <v>0.17</v>
      </c>
      <c r="M60">
        <v>0.126</v>
      </c>
      <c r="N60">
        <v>0.28599999999999998</v>
      </c>
      <c r="O60">
        <v>27.079499999999999</v>
      </c>
      <c r="P60">
        <v>0.107435</v>
      </c>
      <c r="Q60">
        <v>8.5844000000000004E-2</v>
      </c>
      <c r="R60">
        <v>0.221192</v>
      </c>
      <c r="S60">
        <v>28972</v>
      </c>
      <c r="T60">
        <v>18883</v>
      </c>
      <c r="U60">
        <v>2392128</v>
      </c>
      <c r="V60">
        <v>3803164</v>
      </c>
      <c r="W60" s="2">
        <v>46191</v>
      </c>
      <c r="X60">
        <v>1964882</v>
      </c>
      <c r="Y60">
        <v>22204</v>
      </c>
    </row>
    <row r="61" spans="1:25">
      <c r="A61" t="s">
        <v>76</v>
      </c>
      <c r="B61">
        <v>1</v>
      </c>
      <c r="C61" s="2">
        <v>46168</v>
      </c>
      <c r="D61" s="1">
        <v>184.85069999999999</v>
      </c>
      <c r="E61" s="1">
        <v>150</v>
      </c>
      <c r="F61" s="1">
        <v>45</v>
      </c>
      <c r="G61" s="1">
        <v>93.5</v>
      </c>
      <c r="H61" s="1">
        <v>-4736204.01</v>
      </c>
      <c r="I61" s="1">
        <v>687650.60999999987</v>
      </c>
      <c r="J61" s="1">
        <v>-227643776.00000003</v>
      </c>
      <c r="K61" s="1">
        <v>700401761.93000007</v>
      </c>
      <c r="L61">
        <v>0.29099999999999998</v>
      </c>
      <c r="M61">
        <v>0.17199999999999999</v>
      </c>
      <c r="N61">
        <v>0.35299999999999998</v>
      </c>
      <c r="O61">
        <v>53.950200000000002</v>
      </c>
      <c r="P61">
        <v>0.23887</v>
      </c>
      <c r="Q61">
        <v>0.10033</v>
      </c>
      <c r="R61">
        <v>0.28273599999999999</v>
      </c>
      <c r="S61">
        <v>6815</v>
      </c>
      <c r="T61">
        <v>7265</v>
      </c>
      <c r="U61">
        <v>253285</v>
      </c>
      <c r="V61">
        <v>498896</v>
      </c>
      <c r="W61" s="2">
        <v>46191</v>
      </c>
      <c r="X61">
        <v>232214</v>
      </c>
      <c r="Y61">
        <v>3044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19BAB-B4E1-4D60-BF6F-4357FC3E1924}">
  <sheetPr codeName="Sheet3"/>
  <dimension ref="A1:O61"/>
  <sheetViews>
    <sheetView tabSelected="1" topLeftCell="E1" workbookViewId="0">
      <selection activeCell="O2" sqref="O2"/>
    </sheetView>
  </sheetViews>
  <sheetFormatPr defaultRowHeight="15"/>
  <cols>
    <col min="1" max="1" width="8.7109375" bestFit="1" customWidth="1"/>
    <col min="2" max="2" width="6.7109375" bestFit="1" customWidth="1"/>
    <col min="3" max="3" width="13.140625" bestFit="1" customWidth="1"/>
    <col min="4" max="4" width="17.140625" bestFit="1" customWidth="1"/>
    <col min="5" max="5" width="22.42578125" bestFit="1" customWidth="1"/>
    <col min="6" max="6" width="18.140625" bestFit="1" customWidth="1"/>
    <col min="7" max="7" width="13.42578125" bestFit="1" customWidth="1"/>
    <col min="8" max="8" width="14.42578125" bestFit="1" customWidth="1"/>
    <col min="9" max="9" width="13.85546875" bestFit="1" customWidth="1"/>
    <col min="10" max="10" width="10.140625" bestFit="1" customWidth="1"/>
    <col min="11" max="11" width="11.85546875" bestFit="1" customWidth="1"/>
    <col min="12" max="12" width="12.42578125" bestFit="1" customWidth="1"/>
    <col min="13" max="13" width="12" bestFit="1" customWidth="1"/>
    <col min="14" max="14" width="13.140625" bestFit="1" customWidth="1"/>
    <col min="15" max="15" width="125.140625" bestFit="1" customWidth="1"/>
    <col min="16" max="16" width="11.42578125" customWidth="1"/>
    <col min="17" max="17" width="6" bestFit="1" customWidth="1"/>
  </cols>
  <sheetData>
    <row r="1" spans="1:15">
      <c r="A1" s="39" t="s">
        <v>0</v>
      </c>
      <c r="B1" s="39" t="s">
        <v>16</v>
      </c>
      <c r="C1" s="39" t="s">
        <v>15</v>
      </c>
      <c r="D1" s="39" t="s">
        <v>3</v>
      </c>
      <c r="E1" s="39" t="s">
        <v>4</v>
      </c>
      <c r="F1" s="39" t="s">
        <v>5</v>
      </c>
      <c r="G1" s="39" t="s">
        <v>6</v>
      </c>
      <c r="H1" s="39" t="s">
        <v>7</v>
      </c>
      <c r="I1" s="39" t="s">
        <v>8</v>
      </c>
      <c r="J1" s="39" t="s">
        <v>9</v>
      </c>
      <c r="K1" s="39" t="s">
        <v>10</v>
      </c>
      <c r="L1" s="39" t="s">
        <v>11</v>
      </c>
      <c r="M1" s="39" t="s">
        <v>12</v>
      </c>
      <c r="N1" s="39" t="s">
        <v>13</v>
      </c>
      <c r="O1" s="39" t="s">
        <v>14</v>
      </c>
    </row>
    <row r="2" spans="1:15">
      <c r="A2" s="37" t="str">
        <f>RawData!A2</f>
        <v>IWM</v>
      </c>
      <c r="B2" s="37">
        <f>RawData!B2</f>
        <v>1</v>
      </c>
      <c r="C2" s="37">
        <f>IF(B2=1,10,IF(B2=2,5,0))</f>
        <v>10</v>
      </c>
      <c r="D2" s="37" t="str">
        <f>IF(RawData!H2="","",
   IF(RawData!H2&gt;0,"Long Gamma","Short Gamma")
)</f>
        <v>Long Gamma</v>
      </c>
      <c r="E2" s="37" t="str">
        <f>IF(RawData!K2="","",
   IF(RawData!K2&gt;0,"Dealers Long (Sell Rips)","Dealers Short (Buy Rips)")
)</f>
        <v>Dealers Long (Sell Rips)</v>
      </c>
      <c r="F2" s="37" t="str">
        <f>IF(OR(RawData!I2="",RawData!O2=""),"",
   IF(RawData!I2&gt;0,
      IF(RawData!O2&gt;50,"Downside Pressure","Upside Drift"),
      IF(RawData!O2&gt;50,"Upside Pressure","Downside Drift")
   )
)</f>
        <v>Upside Drift</v>
      </c>
      <c r="G2" s="37" t="str">
        <f>IF(RawData!J2="","",
   IF(RawData!J2&lt;0,"Sell Into Close","Buy Into Close")
)</f>
        <v>Sell Into Close</v>
      </c>
      <c r="H2" s="37" t="b">
        <f>IF(
    RawData_Query[[#This Row],[CallWallStrike]]="",
    FALSE,
    ABS(RawData_Query[[#This Row],[CallWallStrike]] - RawData_Query[[#This Row],[Price]]) / RawData_Query[[#This Row],[Price]] &lt; 0.02
)</f>
        <v>0</v>
      </c>
      <c r="I2" s="37" t="b">
        <f>IF(
    RawData_Query[[#This Row],[PutWallStrike]]="",
    FALSE,
    ABS(RawData_Query[[#This Row],[PutWallStrike]] - RawData_Query[[#This Row],[Price]]) / RawData_Query[[#This Row],[Price]] &lt; 0.02
)</f>
        <v>0</v>
      </c>
      <c r="J2" s="37" t="str">
        <f>IF(RawData!G2="","",
   IF(RawData!G2 &lt; RawData!D2,"Below Flip","Above Flip")
)</f>
        <v>Below Flip</v>
      </c>
      <c r="K2" s="37">
        <f>IF(RawData!H2="","",
   (IF(LogicEngine!$D2="Long Gamma",10,0)) +
   (IF(RawData!K2&lt;0,10,0)) +
   (IF(AND(RawData!I2&lt;0,RawData!O2&gt;50),10,0)) +
   (IF(AND(RawData!I2&gt;0,RawData!O2&lt;50),10,0)) +
   (IF(ABS(RawData!E2 - RawData!D2)/RawData!D2 &lt; 0.02,5,0)) +
   (IF(RawData!G2&gt;RawData!D2,5,0)) +
   LogicEngine!$C2
)</f>
        <v>30</v>
      </c>
      <c r="L2" s="37">
        <f>IF(RawData!H2="","",
   (IF(LogicEngine!$D2="Short Gamma",10,0)) +
   (IF(RawData!K2&gt;0,10,0)) +
   (IF(AND(RawData!I2&gt;0,RawData!O2&gt;50),10,0)) +
   (IF(AND(RawData!I2&lt;0,RawData!O2&lt;50),10,0)) +
   (IF(ABS(RawData!F2 - RawData!D2)/RawData!D2 &lt; 0.02,5,0)) +
   (IF(RawData!G2&lt;RawData!D2,5,0)) +
   LogicEngine!$C2
)</f>
        <v>25</v>
      </c>
      <c r="M2" s="37" t="str">
        <f>IF(LogicEngine!$K2&gt;LogicEngine!$L2,"Call",
   IF(LogicEngine!$L2&gt;LogicEngine!$K2,"Put","Avoid")
)</f>
        <v>Call</v>
      </c>
      <c r="N2" s="37">
        <f>MAX(LogicEngine!$K2,LogicEngine!$L2)</f>
        <v>30</v>
      </c>
      <c r="O2" s="37" t="str">
        <f>IF(LogicEngine!$D2="","",
 "Bias: " &amp; LogicEngine!$M2 &amp;
 " | Regime: " &amp; LogicEngine!$D2 &amp;
 " | Delta: " &amp; LogicEngine!$E2 &amp;
 " | Vanna: " &amp; LogicEngine!$F2 &amp;
 " | Charm: " &amp; LogicEngine!$G2 &amp;
 " | Flip: " &amp; LogicEngine!$J2
)</f>
        <v>Bias: Call | Regime: Long Gamma | Delta: Dealers Long (Sell Rips) | Vanna: Upside Drift | Charm: Sell Into Close | Flip: Below Flip</v>
      </c>
    </row>
    <row r="3" spans="1:15">
      <c r="A3" s="38" t="str">
        <f>RawData!A3</f>
        <v>SPY</v>
      </c>
      <c r="B3" s="38">
        <f>RawData!B3</f>
        <v>1</v>
      </c>
      <c r="C3" s="38">
        <f t="shared" ref="C3:C33" si="0">IF(B3=1,10,IF(B3=2,5,0))</f>
        <v>10</v>
      </c>
      <c r="D3" s="38" t="str">
        <f>IF(RawData!H3="","",
   IF(RawData!H3&gt;0,"Long Gamma","Short Gamma")
)</f>
        <v>Long Gamma</v>
      </c>
      <c r="E3" s="38" t="str">
        <f>IF(RawData!K3="","",
   IF(RawData!K3&gt;0,"Dealers Long (Sell Rips)","Dealers Short (Buy Rips)")
)</f>
        <v>Dealers Long (Sell Rips)</v>
      </c>
      <c r="F3" s="38" t="str">
        <f>IF(OR(RawData!I3="",RawData!O3=""),"",
   IF(RawData!I3&gt;0,
      IF(RawData!O3&gt;50,"Downside Pressure","Upside Drift"),
      IF(RawData!O3&gt;50,"Upside Pressure","Downside Drift")
   )
)</f>
        <v>Upside Drift</v>
      </c>
      <c r="G3" s="38" t="str">
        <f>IF(RawData!J3="","",
   IF(RawData!J3&lt;0,"Sell Into Close","Buy Into Close")
)</f>
        <v>Sell Into Close</v>
      </c>
      <c r="H3" s="38" t="b">
        <f>IF(
    RawData_Query[[#This Row],[CallWallStrike]]="",
    FALSE,
    ABS(RawData_Query[[#This Row],[CallWallStrike]] - RawData_Query[[#This Row],[Price]]) / RawData_Query[[#This Row],[Price]] &lt; 0.02
)</f>
        <v>0</v>
      </c>
      <c r="I3" s="38" t="b">
        <f>IF(
    RawData_Query[[#This Row],[PutWallStrike]]="",
    FALSE,
    ABS(RawData_Query[[#This Row],[PutWallStrike]] - RawData_Query[[#This Row],[Price]]) / RawData_Query[[#This Row],[Price]] &lt; 0.02
)</f>
        <v>0</v>
      </c>
      <c r="J3" s="38" t="str">
        <f>IF(RawData!G3="","",
   IF(RawData!G3 &lt; RawData!D3,"Below Flip","Above Flip")
)</f>
        <v>Below Flip</v>
      </c>
      <c r="K3" s="38">
        <f>IF(RawData!H3="","",
   (IF(LogicEngine!$D3="Long Gamma",10,0)) +
   (IF(RawData!K3&lt;0,10,0)) +
   (IF(AND(RawData!I3&lt;0,RawData!O3&gt;50),10,0)) +
   (IF(AND(RawData!I3&gt;0,RawData!O3&lt;50),10,0)) +
   (IF(ABS(RawData!E3 - RawData!D3)/RawData!D3 &lt; 0.02,5,0)) +
   (IF(RawData!G3&gt;RawData!D3,5,0)) +
   LogicEngine!$C3
)</f>
        <v>30</v>
      </c>
      <c r="L3" s="38">
        <f>IF(RawData!H3="","",
   (IF(LogicEngine!$D3="Short Gamma",10,0)) +
   (IF(RawData!K3&gt;0,10,0)) +
   (IF(AND(RawData!I3&gt;0,RawData!O3&gt;50),10,0)) +
   (IF(AND(RawData!I3&lt;0,RawData!O3&lt;50),10,0)) +
   (IF(ABS(RawData!F3 - RawData!D3)/RawData!D3 &lt; 0.02,5,0)) +
   (IF(RawData!G3&lt;RawData!D3,5,0)) +
   LogicEngine!$C3
)</f>
        <v>25</v>
      </c>
      <c r="M3" s="38" t="str">
        <f>IF(LogicEngine!$K3&gt;LogicEngine!$L3,"Call",
   IF(LogicEngine!$L3&gt;LogicEngine!$K3,"Put","Avoid")
)</f>
        <v>Call</v>
      </c>
      <c r="N3" s="38">
        <f>MAX(LogicEngine!$K3,LogicEngine!$L3)</f>
        <v>30</v>
      </c>
      <c r="O3" s="38" t="str">
        <f>IF(LogicEngine!$D3="","",
 "Bias: " &amp; LogicEngine!$M3 &amp;
 " | Regime: " &amp; LogicEngine!$D3 &amp;
 " | Delta: " &amp; LogicEngine!$E3 &amp;
 " | Vanna: " &amp; LogicEngine!$F3 &amp;
 " | Charm: " &amp; LogicEngine!$G3 &amp;
 " | Flip: " &amp; LogicEngine!$J3
)</f>
        <v>Bias: Call | Regime: Long Gamma | Delta: Dealers Long (Sell Rips) | Vanna: Upside Drift | Charm: Sell Into Close | Flip: Below Flip</v>
      </c>
    </row>
    <row r="4" spans="1:15">
      <c r="A4" s="37" t="str">
        <f>RawData!A4</f>
        <v>QQQ</v>
      </c>
      <c r="B4" s="37">
        <f>RawData!B4</f>
        <v>1</v>
      </c>
      <c r="C4" s="37">
        <f t="shared" si="0"/>
        <v>10</v>
      </c>
      <c r="D4" s="37" t="str">
        <f>IF(RawData!H4="","",
   IF(RawData!H4&gt;0,"Long Gamma","Short Gamma")
)</f>
        <v>Short Gamma</v>
      </c>
      <c r="E4" s="37" t="str">
        <f>IF(RawData!K4="","",
   IF(RawData!K4&gt;0,"Dealers Long (Sell Rips)","Dealers Short (Buy Rips)")
)</f>
        <v>Dealers Long (Sell Rips)</v>
      </c>
      <c r="F4" s="37" t="str">
        <f>IF(OR(RawData!I4="",RawData!O4=""),"",
   IF(RawData!I4&gt;0,
      IF(RawData!O4&gt;50,"Downside Pressure","Upside Drift"),
      IF(RawData!O4&gt;50,"Upside Pressure","Downside Drift")
   )
)</f>
        <v>Upside Drift</v>
      </c>
      <c r="G4" s="37" t="str">
        <f>IF(RawData!J4="","",
   IF(RawData!J4&lt;0,"Sell Into Close","Buy Into Close")
)</f>
        <v>Sell Into Close</v>
      </c>
      <c r="H4" s="37" t="b">
        <f>IF(
    RawData_Query[[#This Row],[CallWallStrike]]="",
    FALSE,
    ABS(RawData_Query[[#This Row],[CallWallStrike]] - RawData_Query[[#This Row],[Price]]) / RawData_Query[[#This Row],[Price]] &lt; 0.02
)</f>
        <v>0</v>
      </c>
      <c r="I4" s="37" t="b">
        <f>IF(
    RawData_Query[[#This Row],[PutWallStrike]]="",
    FALSE,
    ABS(RawData_Query[[#This Row],[PutWallStrike]] - RawData_Query[[#This Row],[Price]]) / RawData_Query[[#This Row],[Price]] &lt; 0.02
)</f>
        <v>0</v>
      </c>
      <c r="J4" s="37" t="str">
        <f>IF(RawData!G4="","",
   IF(RawData!G4 &lt; RawData!D4,"Below Flip","Above Flip")
)</f>
        <v>Below Flip</v>
      </c>
      <c r="K4" s="37">
        <f>IF(RawData!H4="","",
   (IF(LogicEngine!$D4="Long Gamma",10,0)) +
   (IF(RawData!K4&lt;0,10,0)) +
   (IF(AND(RawData!I4&lt;0,RawData!O4&gt;50),10,0)) +
   (IF(AND(RawData!I4&gt;0,RawData!O4&lt;50),10,0)) +
   (IF(ABS(RawData!E4 - RawData!D4)/RawData!D4 &lt; 0.02,5,0)) +
   (IF(RawData!G4&gt;RawData!D4,5,0)) +
   LogicEngine!$C4
)</f>
        <v>20</v>
      </c>
      <c r="L4" s="37">
        <f>IF(RawData!H4="","",
   (IF(LogicEngine!$D4="Short Gamma",10,0)) +
   (IF(RawData!K4&gt;0,10,0)) +
   (IF(AND(RawData!I4&gt;0,RawData!O4&gt;50),10,0)) +
   (IF(AND(RawData!I4&lt;0,RawData!O4&lt;50),10,0)) +
   (IF(ABS(RawData!F4 - RawData!D4)/RawData!D4 &lt; 0.02,5,0)) +
   (IF(RawData!G4&lt;RawData!D4,5,0)) +
   LogicEngine!$C4
)</f>
        <v>35</v>
      </c>
      <c r="M4" s="37" t="str">
        <f>IF(LogicEngine!$K4&gt;LogicEngine!$L4,"Call",
   IF(LogicEngine!$L4&gt;LogicEngine!$K4,"Put","Avoid")
)</f>
        <v>Put</v>
      </c>
      <c r="N4" s="37">
        <f>MAX(LogicEngine!$K4,LogicEngine!$L4)</f>
        <v>35</v>
      </c>
      <c r="O4" s="37" t="str">
        <f>IF(LogicEngine!$D4="","",
 "Bias: " &amp; LogicEngine!$M4 &amp;
 " | Regime: " &amp; LogicEngine!$D4 &amp;
 " | Delta: " &amp; LogicEngine!$E4 &amp;
 " | Vanna: " &amp; LogicEngine!$F4 &amp;
 " | Charm: " &amp; LogicEngine!$G4 &amp;
 " | Flip: " &amp; LogicEngine!$J4
)</f>
        <v>Bias: Put | Regime: Short Gamma | Delta: Dealers Long (Sell Rips) | Vanna: Upside Drift | Charm: Sell Into Close | Flip: Below Flip</v>
      </c>
    </row>
    <row r="5" spans="1:15">
      <c r="A5" s="38" t="str">
        <f>RawData!A5</f>
        <v>NFLX</v>
      </c>
      <c r="B5" s="38">
        <f>RawData!B5</f>
        <v>1</v>
      </c>
      <c r="C5" s="38">
        <f t="shared" si="0"/>
        <v>10</v>
      </c>
      <c r="D5" s="38" t="str">
        <f>IF(RawData!H5="","",
   IF(RawData!H5&gt;0,"Long Gamma","Short Gamma")
)</f>
        <v>Long Gamma</v>
      </c>
      <c r="E5" s="38" t="str">
        <f>IF(RawData!K5="","",
   IF(RawData!K5&gt;0,"Dealers Long (Sell Rips)","Dealers Short (Buy Rips)")
)</f>
        <v>Dealers Long (Sell Rips)</v>
      </c>
      <c r="F5" s="38" t="str">
        <f>IF(OR(RawData!I5="",RawData!O5=""),"",
   IF(RawData!I5&gt;0,
      IF(RawData!O5&gt;50,"Downside Pressure","Upside Drift"),
      IF(RawData!O5&gt;50,"Upside Pressure","Downside Drift")
   )
)</f>
        <v>Upside Drift</v>
      </c>
      <c r="G5" s="38" t="str">
        <f>IF(RawData!J5="","",
   IF(RawData!J5&lt;0,"Sell Into Close","Buy Into Close")
)</f>
        <v>Sell Into Close</v>
      </c>
      <c r="H5" s="38" t="b">
        <f>IF(
    RawData_Query[[#This Row],[CallWallStrike]]="",
    FALSE,
    ABS(RawData_Query[[#This Row],[CallWallStrike]] - RawData_Query[[#This Row],[Price]]) / RawData_Query[[#This Row],[Price]] &lt; 0.02
)</f>
        <v>0</v>
      </c>
      <c r="I5" s="38" t="b">
        <f>IF(
    RawData_Query[[#This Row],[PutWallStrike]]="",
    FALSE,
    ABS(RawData_Query[[#This Row],[PutWallStrike]] - RawData_Query[[#This Row],[Price]]) / RawData_Query[[#This Row],[Price]] &lt; 0.02
)</f>
        <v>0</v>
      </c>
      <c r="J5" s="38" t="str">
        <f>IF(RawData!G5="","",
   IF(RawData!G5 &lt; RawData!D5,"Below Flip","Above Flip")
)</f>
        <v>Below Flip</v>
      </c>
      <c r="K5" s="38">
        <f>IF(RawData!H5="","",
   (IF(LogicEngine!$D5="Long Gamma",10,0)) +
   (IF(RawData!K5&lt;0,10,0)) +
   (IF(AND(RawData!I5&lt;0,RawData!O5&gt;50),10,0)) +
   (IF(AND(RawData!I5&gt;0,RawData!O5&lt;50),10,0)) +
   (IF(ABS(RawData!E5 - RawData!D5)/RawData!D5 &lt; 0.02,5,0)) +
   (IF(RawData!G5&gt;RawData!D5,5,0)) +
   LogicEngine!$C5
)</f>
        <v>30</v>
      </c>
      <c r="L5" s="38">
        <f>IF(RawData!H5="","",
   (IF(LogicEngine!$D5="Short Gamma",10,0)) +
   (IF(RawData!K5&gt;0,10,0)) +
   (IF(AND(RawData!I5&gt;0,RawData!O5&gt;50),10,0)) +
   (IF(AND(RawData!I5&lt;0,RawData!O5&lt;50),10,0)) +
   (IF(ABS(RawData!F5 - RawData!D5)/RawData!D5 &lt; 0.02,5,0)) +
   (IF(RawData!G5&lt;RawData!D5,5,0)) +
   LogicEngine!$C5
)</f>
        <v>25</v>
      </c>
      <c r="M5" s="38" t="str">
        <f>IF(LogicEngine!$K5&gt;LogicEngine!$L5,"Call",
   IF(LogicEngine!$L5&gt;LogicEngine!$K5,"Put","Avoid")
)</f>
        <v>Call</v>
      </c>
      <c r="N5" s="38">
        <f>MAX(LogicEngine!$K5,LogicEngine!$L5)</f>
        <v>30</v>
      </c>
      <c r="O5" s="38" t="str">
        <f>IF(LogicEngine!$D5="","",
 "Bias: " &amp; LogicEngine!$M5 &amp;
 " | Regime: " &amp; LogicEngine!$D5 &amp;
 " | Delta: " &amp; LogicEngine!$E5 &amp;
 " | Vanna: " &amp; LogicEngine!$F5 &amp;
 " | Charm: " &amp; LogicEngine!$G5 &amp;
 " | Flip: " &amp; LogicEngine!$J5
)</f>
        <v>Bias: Call | Regime: Long Gamma | Delta: Dealers Long (Sell Rips) | Vanna: Upside Drift | Charm: Sell Into Close | Flip: Below Flip</v>
      </c>
    </row>
    <row r="6" spans="1:15">
      <c r="A6" s="37" t="str">
        <f>RawData!A6</f>
        <v>AMZN</v>
      </c>
      <c r="B6" s="37">
        <f>RawData!B6</f>
        <v>1</v>
      </c>
      <c r="C6" s="37">
        <f t="shared" si="0"/>
        <v>10</v>
      </c>
      <c r="D6" s="37" t="str">
        <f>IF(RawData!H6="","",
   IF(RawData!H6&gt;0,"Long Gamma","Short Gamma")
)</f>
        <v>Short Gamma</v>
      </c>
      <c r="E6" s="37" t="str">
        <f>IF(RawData!K6="","",
   IF(RawData!K6&gt;0,"Dealers Long (Sell Rips)","Dealers Short (Buy Rips)")
)</f>
        <v>Dealers Long (Sell Rips)</v>
      </c>
      <c r="F6" s="37" t="str">
        <f>IF(OR(RawData!I6="",RawData!O6=""),"",
   IF(RawData!I6&gt;0,
      IF(RawData!O6&gt;50,"Downside Pressure","Upside Drift"),
      IF(RawData!O6&gt;50,"Upside Pressure","Downside Drift")
   )
)</f>
        <v>Upside Drift</v>
      </c>
      <c r="G6" s="37" t="str">
        <f>IF(RawData!J6="","",
   IF(RawData!J6&lt;0,"Sell Into Close","Buy Into Close")
)</f>
        <v>Sell Into Close</v>
      </c>
      <c r="H6" s="37" t="b">
        <f>IF(
    RawData_Query[[#This Row],[CallWallStrike]]="",
    FALSE,
    ABS(RawData_Query[[#This Row],[CallWallStrike]] - RawData_Query[[#This Row],[Price]]) / RawData_Query[[#This Row],[Price]] &lt; 0.02
)</f>
        <v>0</v>
      </c>
      <c r="I6" s="37" t="b">
        <f>IF(
    RawData_Query[[#This Row],[PutWallStrike]]="",
    FALSE,
    ABS(RawData_Query[[#This Row],[PutWallStrike]] - RawData_Query[[#This Row],[Price]]) / RawData_Query[[#This Row],[Price]] &lt; 0.02
)</f>
        <v>0</v>
      </c>
      <c r="J6" s="37" t="str">
        <f>IF(RawData!G6="","",
   IF(RawData!G6 &lt; RawData!D6,"Below Flip","Above Flip")
)</f>
        <v>Below Flip</v>
      </c>
      <c r="K6" s="37">
        <f>IF(RawData!H6="","",
   (IF(LogicEngine!$D6="Long Gamma",10,0)) +
   (IF(RawData!K6&lt;0,10,0)) +
   (IF(AND(RawData!I6&lt;0,RawData!O6&gt;50),10,0)) +
   (IF(AND(RawData!I6&gt;0,RawData!O6&lt;50),10,0)) +
   (IF(ABS(RawData!E6 - RawData!D6)/RawData!D6 &lt; 0.02,5,0)) +
   (IF(RawData!G6&gt;RawData!D6,5,0)) +
   LogicEngine!$C6
)</f>
        <v>20</v>
      </c>
      <c r="L6" s="37">
        <f>IF(RawData!H6="","",
   (IF(LogicEngine!$D6="Short Gamma",10,0)) +
   (IF(RawData!K6&gt;0,10,0)) +
   (IF(AND(RawData!I6&gt;0,RawData!O6&gt;50),10,0)) +
   (IF(AND(RawData!I6&lt;0,RawData!O6&lt;50),10,0)) +
   (IF(ABS(RawData!F6 - RawData!D6)/RawData!D6 &lt; 0.02,5,0)) +
   (IF(RawData!G6&lt;RawData!D6,5,0)) +
   LogicEngine!$C6
)</f>
        <v>35</v>
      </c>
      <c r="M6" s="37" t="str">
        <f>IF(LogicEngine!$K6&gt;LogicEngine!$L6,"Call",
   IF(LogicEngine!$L6&gt;LogicEngine!$K6,"Put","Avoid")
)</f>
        <v>Put</v>
      </c>
      <c r="N6" s="37">
        <f>MAX(LogicEngine!$K6,LogicEngine!$L6)</f>
        <v>35</v>
      </c>
      <c r="O6" s="37" t="str">
        <f>IF(LogicEngine!$D6="","",
 "Bias: " &amp; LogicEngine!$M6 &amp;
 " | Regime: " &amp; LogicEngine!$D6 &amp;
 " | Delta: " &amp; LogicEngine!$E6 &amp;
 " | Vanna: " &amp; LogicEngine!$F6 &amp;
 " | Charm: " &amp; LogicEngine!$G6 &amp;
 " | Flip: " &amp; LogicEngine!$J6
)</f>
        <v>Bias: Put | Regime: Short Gamma | Delta: Dealers Long (Sell Rips) | Vanna: Upside Drift | Charm: Sell Into Close | Flip: Below Flip</v>
      </c>
    </row>
    <row r="7" spans="1:15">
      <c r="A7" s="38" t="str">
        <f>RawData!A7</f>
        <v>AAPL</v>
      </c>
      <c r="B7" s="38">
        <f>RawData!B7</f>
        <v>1</v>
      </c>
      <c r="C7" s="38">
        <f t="shared" si="0"/>
        <v>10</v>
      </c>
      <c r="D7" s="38" t="str">
        <f>IF(RawData!H7="","",
   IF(RawData!H7&gt;0,"Long Gamma","Short Gamma")
)</f>
        <v>Short Gamma</v>
      </c>
      <c r="E7" s="38" t="str">
        <f>IF(RawData!K7="","",
   IF(RawData!K7&gt;0,"Dealers Long (Sell Rips)","Dealers Short (Buy Rips)")
)</f>
        <v>Dealers Long (Sell Rips)</v>
      </c>
      <c r="F7" s="38" t="str">
        <f>IF(OR(RawData!I7="",RawData!O7=""),"",
   IF(RawData!I7&gt;0,
      IF(RawData!O7&gt;50,"Downside Pressure","Upside Drift"),
      IF(RawData!O7&gt;50,"Upside Pressure","Downside Drift")
   )
)</f>
        <v>Upside Drift</v>
      </c>
      <c r="G7" s="38" t="str">
        <f>IF(RawData!J7="","",
   IF(RawData!J7&lt;0,"Sell Into Close","Buy Into Close")
)</f>
        <v>Sell Into Close</v>
      </c>
      <c r="H7" s="38" t="b">
        <f>IF(
    RawData_Query[[#This Row],[CallWallStrike]]="",
    FALSE,
    ABS(RawData_Query[[#This Row],[CallWallStrike]] - RawData_Query[[#This Row],[Price]]) / RawData_Query[[#This Row],[Price]] &lt; 0.02
)</f>
        <v>0</v>
      </c>
      <c r="I7" s="38" t="b">
        <f>IF(
    RawData_Query[[#This Row],[PutWallStrike]]="",
    FALSE,
    ABS(RawData_Query[[#This Row],[PutWallStrike]] - RawData_Query[[#This Row],[Price]]) / RawData_Query[[#This Row],[Price]] &lt; 0.02
)</f>
        <v>0</v>
      </c>
      <c r="J7" s="38" t="str">
        <f>IF(RawData!G7="","",
   IF(RawData!G7 &lt; RawData!D7,"Below Flip","Above Flip")
)</f>
        <v>Below Flip</v>
      </c>
      <c r="K7" s="38">
        <f>IF(RawData!H7="","",
   (IF(LogicEngine!$D7="Long Gamma",10,0)) +
   (IF(RawData!K7&lt;0,10,0)) +
   (IF(AND(RawData!I7&lt;0,RawData!O7&gt;50),10,0)) +
   (IF(AND(RawData!I7&gt;0,RawData!O7&lt;50),10,0)) +
   (IF(ABS(RawData!E7 - RawData!D7)/RawData!D7 &lt; 0.02,5,0)) +
   (IF(RawData!G7&gt;RawData!D7,5,0)) +
   LogicEngine!$C7
)</f>
        <v>20</v>
      </c>
      <c r="L7" s="38">
        <f>IF(RawData!H7="","",
   (IF(LogicEngine!$D7="Short Gamma",10,0)) +
   (IF(RawData!K7&gt;0,10,0)) +
   (IF(AND(RawData!I7&gt;0,RawData!O7&gt;50),10,0)) +
   (IF(AND(RawData!I7&lt;0,RawData!O7&lt;50),10,0)) +
   (IF(ABS(RawData!F7 - RawData!D7)/RawData!D7 &lt; 0.02,5,0)) +
   (IF(RawData!G7&lt;RawData!D7,5,0)) +
   LogicEngine!$C7
)</f>
        <v>35</v>
      </c>
      <c r="M7" s="38" t="str">
        <f>IF(LogicEngine!$K7&gt;LogicEngine!$L7,"Call",
   IF(LogicEngine!$L7&gt;LogicEngine!$K7,"Put","Avoid")
)</f>
        <v>Put</v>
      </c>
      <c r="N7" s="38">
        <f>MAX(LogicEngine!$K7,LogicEngine!$L7)</f>
        <v>35</v>
      </c>
      <c r="O7" s="38" t="str">
        <f>IF(LogicEngine!$D7="","",
 "Bias: " &amp; LogicEngine!$M7 &amp;
 " | Regime: " &amp; LogicEngine!$D7 &amp;
 " | Delta: " &amp; LogicEngine!$E7 &amp;
 " | Vanna: " &amp; LogicEngine!$F7 &amp;
 " | Charm: " &amp; LogicEngine!$G7 &amp;
 " | Flip: " &amp; LogicEngine!$J7
)</f>
        <v>Bias: Put | Regime: Short Gamma | Delta: Dealers Long (Sell Rips) | Vanna: Upside Drift | Charm: Sell Into Close | Flip: Below Flip</v>
      </c>
    </row>
    <row r="8" spans="1:15">
      <c r="A8" s="37" t="str">
        <f>RawData!A8</f>
        <v>TSLA</v>
      </c>
      <c r="B8" s="37">
        <f>RawData!B8</f>
        <v>1</v>
      </c>
      <c r="C8" s="37">
        <f t="shared" si="0"/>
        <v>10</v>
      </c>
      <c r="D8" s="37" t="str">
        <f>IF(RawData!H8="","",
   IF(RawData!H8&gt;0,"Long Gamma","Short Gamma")
)</f>
        <v>Short Gamma</v>
      </c>
      <c r="E8" s="37" t="str">
        <f>IF(RawData!K8="","",
   IF(RawData!K8&gt;0,"Dealers Long (Sell Rips)","Dealers Short (Buy Rips)")
)</f>
        <v>Dealers Long (Sell Rips)</v>
      </c>
      <c r="F8" s="37" t="str">
        <f>IF(OR(RawData!I8="",RawData!O8=""),"",
   IF(RawData!I8&gt;0,
      IF(RawData!O8&gt;50,"Downside Pressure","Upside Drift"),
      IF(RawData!O8&gt;50,"Upside Pressure","Downside Drift")
   )
)</f>
        <v>Upside Drift</v>
      </c>
      <c r="G8" s="37" t="str">
        <f>IF(RawData!J8="","",
   IF(RawData!J8&lt;0,"Sell Into Close","Buy Into Close")
)</f>
        <v>Sell Into Close</v>
      </c>
      <c r="H8" s="37" t="b">
        <f>IF(
    RawData_Query[[#This Row],[CallWallStrike]]="",
    FALSE,
    ABS(RawData_Query[[#This Row],[CallWallStrike]] - RawData_Query[[#This Row],[Price]]) / RawData_Query[[#This Row],[Price]] &lt; 0.02
)</f>
        <v>0</v>
      </c>
      <c r="I8" s="37" t="b">
        <f>IF(
    RawData_Query[[#This Row],[PutWallStrike]]="",
    FALSE,
    ABS(RawData_Query[[#This Row],[PutWallStrike]] - RawData_Query[[#This Row],[Price]]) / RawData_Query[[#This Row],[Price]] &lt; 0.02
)</f>
        <v>0</v>
      </c>
      <c r="J8" s="37" t="str">
        <f>IF(RawData!G8="","",
   IF(RawData!G8 &lt; RawData!D8,"Below Flip","Above Flip")
)</f>
        <v>Below Flip</v>
      </c>
      <c r="K8" s="37">
        <f>IF(RawData!H8="","",
   (IF(LogicEngine!$D8="Long Gamma",10,0)) +
   (IF(RawData!K8&lt;0,10,0)) +
   (IF(AND(RawData!I8&lt;0,RawData!O8&gt;50),10,0)) +
   (IF(AND(RawData!I8&gt;0,RawData!O8&lt;50),10,0)) +
   (IF(ABS(RawData!E8 - RawData!D8)/RawData!D8 &lt; 0.02,5,0)) +
   (IF(RawData!G8&gt;RawData!D8,5,0)) +
   LogicEngine!$C8
)</f>
        <v>20</v>
      </c>
      <c r="L8" s="37">
        <f>IF(RawData!H8="","",
   (IF(LogicEngine!$D8="Short Gamma",10,0)) +
   (IF(RawData!K8&gt;0,10,0)) +
   (IF(AND(RawData!I8&gt;0,RawData!O8&gt;50),10,0)) +
   (IF(AND(RawData!I8&lt;0,RawData!O8&lt;50),10,0)) +
   (IF(ABS(RawData!F8 - RawData!D8)/RawData!D8 &lt; 0.02,5,0)) +
   (IF(RawData!G8&lt;RawData!D8,5,0)) +
   LogicEngine!$C8
)</f>
        <v>35</v>
      </c>
      <c r="M8" s="37" t="str">
        <f>IF(LogicEngine!$K8&gt;LogicEngine!$L8,"Call",
   IF(LogicEngine!$L8&gt;LogicEngine!$K8,"Put","Avoid")
)</f>
        <v>Put</v>
      </c>
      <c r="N8" s="37">
        <f>MAX(LogicEngine!$K8,LogicEngine!$L8)</f>
        <v>35</v>
      </c>
      <c r="O8" s="37" t="str">
        <f>IF(LogicEngine!$D8="","",
 "Bias: " &amp; LogicEngine!$M8 &amp;
 " | Regime: " &amp; LogicEngine!$D8 &amp;
 " | Delta: " &amp; LogicEngine!$E8 &amp;
 " | Vanna: " &amp; LogicEngine!$F8 &amp;
 " | Charm: " &amp; LogicEngine!$G8 &amp;
 " | Flip: " &amp; LogicEngine!$J8
)</f>
        <v>Bias: Put | Regime: Short Gamma | Delta: Dealers Long (Sell Rips) | Vanna: Upside Drift | Charm: Sell Into Close | Flip: Below Flip</v>
      </c>
    </row>
    <row r="9" spans="1:15">
      <c r="A9" s="38" t="str">
        <f>RawData!A9</f>
        <v>META</v>
      </c>
      <c r="B9" s="38">
        <f>RawData!B9</f>
        <v>1</v>
      </c>
      <c r="C9" s="38">
        <f t="shared" si="0"/>
        <v>10</v>
      </c>
      <c r="D9" s="38" t="str">
        <f>IF(RawData!H9="","",
   IF(RawData!H9&gt;0,"Long Gamma","Short Gamma")
)</f>
        <v>Short Gamma</v>
      </c>
      <c r="E9" s="38" t="str">
        <f>IF(RawData!K9="","",
   IF(RawData!K9&gt;0,"Dealers Long (Sell Rips)","Dealers Short (Buy Rips)")
)</f>
        <v>Dealers Long (Sell Rips)</v>
      </c>
      <c r="F9" s="38" t="str">
        <f>IF(OR(RawData!I9="",RawData!O9=""),"",
   IF(RawData!I9&gt;0,
      IF(RawData!O9&gt;50,"Downside Pressure","Upside Drift"),
      IF(RawData!O9&gt;50,"Upside Pressure","Downside Drift")
   )
)</f>
        <v>Upside Drift</v>
      </c>
      <c r="G9" s="38" t="str">
        <f>IF(RawData!J9="","",
   IF(RawData!J9&lt;0,"Sell Into Close","Buy Into Close")
)</f>
        <v>Sell Into Close</v>
      </c>
      <c r="H9" s="38" t="b">
        <f>IF(
    RawData_Query[[#This Row],[CallWallStrike]]="",
    FALSE,
    ABS(RawData_Query[[#This Row],[CallWallStrike]] - RawData_Query[[#This Row],[Price]]) / RawData_Query[[#This Row],[Price]] &lt; 0.02
)</f>
        <v>0</v>
      </c>
      <c r="I9" s="38" t="b">
        <f>IF(
    RawData_Query[[#This Row],[PutWallStrike]]="",
    FALSE,
    ABS(RawData_Query[[#This Row],[PutWallStrike]] - RawData_Query[[#This Row],[Price]]) / RawData_Query[[#This Row],[Price]] &lt; 0.02
)</f>
        <v>0</v>
      </c>
      <c r="J9" s="38" t="str">
        <f>IF(RawData!G9="","",
   IF(RawData!G9 &lt; RawData!D9,"Below Flip","Above Flip")
)</f>
        <v>Below Flip</v>
      </c>
      <c r="K9" s="38">
        <f>IF(RawData!H9="","",
   (IF(LogicEngine!$D9="Long Gamma",10,0)) +
   (IF(RawData!K9&lt;0,10,0)) +
   (IF(AND(RawData!I9&lt;0,RawData!O9&gt;50),10,0)) +
   (IF(AND(RawData!I9&gt;0,RawData!O9&lt;50),10,0)) +
   (IF(ABS(RawData!E9 - RawData!D9)/RawData!D9 &lt; 0.02,5,0)) +
   (IF(RawData!G9&gt;RawData!D9,5,0)) +
   LogicEngine!$C9
)</f>
        <v>20</v>
      </c>
      <c r="L9" s="38">
        <f>IF(RawData!H9="","",
   (IF(LogicEngine!$D9="Short Gamma",10,0)) +
   (IF(RawData!K9&gt;0,10,0)) +
   (IF(AND(RawData!I9&gt;0,RawData!O9&gt;50),10,0)) +
   (IF(AND(RawData!I9&lt;0,RawData!O9&lt;50),10,0)) +
   (IF(ABS(RawData!F9 - RawData!D9)/RawData!D9 &lt; 0.02,5,0)) +
   (IF(RawData!G9&lt;RawData!D9,5,0)) +
   LogicEngine!$C9
)</f>
        <v>35</v>
      </c>
      <c r="M9" s="38" t="str">
        <f>IF(LogicEngine!$K9&gt;LogicEngine!$L9,"Call",
   IF(LogicEngine!$L9&gt;LogicEngine!$K9,"Put","Avoid")
)</f>
        <v>Put</v>
      </c>
      <c r="N9" s="38">
        <f>MAX(LogicEngine!$K9,LogicEngine!$L9)</f>
        <v>35</v>
      </c>
      <c r="O9" s="38" t="str">
        <f>IF(LogicEngine!$D9="","",
 "Bias: " &amp; LogicEngine!$M9 &amp;
 " | Regime: " &amp; LogicEngine!$D9 &amp;
 " | Delta: " &amp; LogicEngine!$E9 &amp;
 " | Vanna: " &amp; LogicEngine!$F9 &amp;
 " | Charm: " &amp; LogicEngine!$G9 &amp;
 " | Flip: " &amp; LogicEngine!$J9
)</f>
        <v>Bias: Put | Regime: Short Gamma | Delta: Dealers Long (Sell Rips) | Vanna: Upside Drift | Charm: Sell Into Close | Flip: Below Flip</v>
      </c>
    </row>
    <row r="10" spans="1:15">
      <c r="A10" s="37" t="str">
        <f>RawData!A10</f>
        <v>PLTR</v>
      </c>
      <c r="B10" s="37">
        <f>RawData!B10</f>
        <v>2</v>
      </c>
      <c r="C10" s="37">
        <f t="shared" si="0"/>
        <v>5</v>
      </c>
      <c r="D10" s="37" t="str">
        <f>IF(RawData!H10="","",
   IF(RawData!H10&gt;0,"Long Gamma","Short Gamma")
)</f>
        <v>Short Gamma</v>
      </c>
      <c r="E10" s="37" t="str">
        <f>IF(RawData!K10="","",
   IF(RawData!K10&gt;0,"Dealers Long (Sell Rips)","Dealers Short (Buy Rips)")
)</f>
        <v>Dealers Long (Sell Rips)</v>
      </c>
      <c r="F10" s="37" t="str">
        <f>IF(OR(RawData!I10="",RawData!O10=""),"",
   IF(RawData!I10&gt;0,
      IF(RawData!O10&gt;50,"Downside Pressure","Upside Drift"),
      IF(RawData!O10&gt;50,"Upside Pressure","Downside Drift")
   )
)</f>
        <v>Downside Drift</v>
      </c>
      <c r="G10" s="37" t="str">
        <f>IF(RawData!J10="","",
   IF(RawData!J10&lt;0,"Sell Into Close","Buy Into Close")
)</f>
        <v>Sell Into Close</v>
      </c>
      <c r="H10" s="37" t="b">
        <f>IF(
    RawData_Query[[#This Row],[CallWallStrike]]="",
    FALSE,
    ABS(RawData_Query[[#This Row],[CallWallStrike]] - RawData_Query[[#This Row],[Price]]) / RawData_Query[[#This Row],[Price]] &lt; 0.02
)</f>
        <v>0</v>
      </c>
      <c r="I10" s="37" t="b">
        <f>IF(
    RawData_Query[[#This Row],[PutWallStrike]]="",
    FALSE,
    ABS(RawData_Query[[#This Row],[PutWallStrike]] - RawData_Query[[#This Row],[Price]]) / RawData_Query[[#This Row],[Price]] &lt; 0.02
)</f>
        <v>0</v>
      </c>
      <c r="J10" s="37" t="str">
        <f>IF(RawData!G10="","",
   IF(RawData!G10 &lt; RawData!D10,"Below Flip","Above Flip")
)</f>
        <v>Below Flip</v>
      </c>
      <c r="K10" s="37">
        <f>IF(RawData!H10="","",
   (IF(LogicEngine!$D10="Long Gamma",10,0)) +
   (IF(RawData!K10&lt;0,10,0)) +
   (IF(AND(RawData!I10&lt;0,RawData!O10&gt;50),10,0)) +
   (IF(AND(RawData!I10&gt;0,RawData!O10&lt;50),10,0)) +
   (IF(ABS(RawData!E10 - RawData!D10)/RawData!D10 &lt; 0.02,5,0)) +
   (IF(RawData!G10&gt;RawData!D10,5,0)) +
   LogicEngine!$C10
)</f>
        <v>5</v>
      </c>
      <c r="L10" s="37">
        <f>IF(RawData!H10="","",
   (IF(LogicEngine!$D10="Short Gamma",10,0)) +
   (IF(RawData!K10&gt;0,10,0)) +
   (IF(AND(RawData!I10&gt;0,RawData!O10&gt;50),10,0)) +
   (IF(AND(RawData!I10&lt;0,RawData!O10&lt;50),10,0)) +
   (IF(ABS(RawData!F10 - RawData!D10)/RawData!D10 &lt; 0.02,5,0)) +
   (IF(RawData!G10&lt;RawData!D10,5,0)) +
   LogicEngine!$C10
)</f>
        <v>40</v>
      </c>
      <c r="M10" s="37" t="str">
        <f>IF(LogicEngine!$K10&gt;LogicEngine!$L10,"Call",
   IF(LogicEngine!$L10&gt;LogicEngine!$K10,"Put","Avoid")
)</f>
        <v>Put</v>
      </c>
      <c r="N10" s="37">
        <f>MAX(LogicEngine!$K10,LogicEngine!$L10)</f>
        <v>40</v>
      </c>
      <c r="O10" s="37" t="str">
        <f>IF(LogicEngine!$D10="","",
 "Bias: " &amp; LogicEngine!$M10 &amp;
 " | Regime: " &amp; LogicEngine!$D10 &amp;
 " | Delta: " &amp; LogicEngine!$E10 &amp;
 " | Vanna: " &amp; LogicEngine!$F10 &amp;
 " | Charm: " &amp; LogicEngine!$G10 &amp;
 " | Flip: " &amp; LogicEngine!$J10
)</f>
        <v>Bias: Put | Regime: Short Gamma | Delta: Dealers Long (Sell Rips) | Vanna: Downside Drift | Charm: Sell Into Close | Flip: Below Flip</v>
      </c>
    </row>
    <row r="11" spans="1:15">
      <c r="A11" s="38" t="str">
        <f>RawData!A11</f>
        <v>GOOG</v>
      </c>
      <c r="B11" s="38">
        <f>RawData!B11</f>
        <v>1</v>
      </c>
      <c r="C11" s="38">
        <f t="shared" si="0"/>
        <v>10</v>
      </c>
      <c r="D11" s="38" t="str">
        <f>IF(RawData!H11="","",
   IF(RawData!H11&gt;0,"Long Gamma","Short Gamma")
)</f>
        <v>Long Gamma</v>
      </c>
      <c r="E11" s="38" t="str">
        <f>IF(RawData!K11="","",
   IF(RawData!K11&gt;0,"Dealers Long (Sell Rips)","Dealers Short (Buy Rips)")
)</f>
        <v>Dealers Long (Sell Rips)</v>
      </c>
      <c r="F11" s="38" t="str">
        <f>IF(OR(RawData!I11="",RawData!O11=""),"",
   IF(RawData!I11&gt;0,
      IF(RawData!O11&gt;50,"Downside Pressure","Upside Drift"),
      IF(RawData!O11&gt;50,"Upside Pressure","Downside Drift")
   )
)</f>
        <v>Upside Drift</v>
      </c>
      <c r="G11" s="38" t="str">
        <f>IF(RawData!J11="","",
   IF(RawData!J11&lt;0,"Sell Into Close","Buy Into Close")
)</f>
        <v>Sell Into Close</v>
      </c>
      <c r="H11" s="38" t="b">
        <f>IF(
    RawData_Query[[#This Row],[CallWallStrike]]="",
    FALSE,
    ABS(RawData_Query[[#This Row],[CallWallStrike]] - RawData_Query[[#This Row],[Price]]) / RawData_Query[[#This Row],[Price]] &lt; 0.02
)</f>
        <v>0</v>
      </c>
      <c r="I11" s="38" t="b">
        <f>IF(
    RawData_Query[[#This Row],[PutWallStrike]]="",
    FALSE,
    ABS(RawData_Query[[#This Row],[PutWallStrike]] - RawData_Query[[#This Row],[Price]]) / RawData_Query[[#This Row],[Price]] &lt; 0.02
)</f>
        <v>0</v>
      </c>
      <c r="J11" s="38" t="str">
        <f>IF(RawData!G11="","",
   IF(RawData!G11 &lt; RawData!D11,"Below Flip","Above Flip")
)</f>
        <v>Below Flip</v>
      </c>
      <c r="K11" s="38">
        <f>IF(RawData!H11="","",
   (IF(LogicEngine!$D11="Long Gamma",10,0)) +
   (IF(RawData!K11&lt;0,10,0)) +
   (IF(AND(RawData!I11&lt;0,RawData!O11&gt;50),10,0)) +
   (IF(AND(RawData!I11&gt;0,RawData!O11&lt;50),10,0)) +
   (IF(ABS(RawData!E11 - RawData!D11)/RawData!D11 &lt; 0.02,5,0)) +
   (IF(RawData!G11&gt;RawData!D11,5,0)) +
   LogicEngine!$C11
)</f>
        <v>30</v>
      </c>
      <c r="L11" s="38">
        <f>IF(RawData!H11="","",
   (IF(LogicEngine!$D11="Short Gamma",10,0)) +
   (IF(RawData!K11&gt;0,10,0)) +
   (IF(AND(RawData!I11&gt;0,RawData!O11&gt;50),10,0)) +
   (IF(AND(RawData!I11&lt;0,RawData!O11&lt;50),10,0)) +
   (IF(ABS(RawData!F11 - RawData!D11)/RawData!D11 &lt; 0.02,5,0)) +
   (IF(RawData!G11&lt;RawData!D11,5,0)) +
   LogicEngine!$C11
)</f>
        <v>25</v>
      </c>
      <c r="M11" s="38" t="str">
        <f>IF(LogicEngine!$K11&gt;LogicEngine!$L11,"Call",
   IF(LogicEngine!$L11&gt;LogicEngine!$K11,"Put","Avoid")
)</f>
        <v>Call</v>
      </c>
      <c r="N11" s="38">
        <f>MAX(LogicEngine!$K11,LogicEngine!$L11)</f>
        <v>30</v>
      </c>
      <c r="O11" s="38" t="str">
        <f>IF(LogicEngine!$D11="","",
 "Bias: " &amp; LogicEngine!$M11 &amp;
 " | Regime: " &amp; LogicEngine!$D11 &amp;
 " | Delta: " &amp; LogicEngine!$E11 &amp;
 " | Vanna: " &amp; LogicEngine!$F11 &amp;
 " | Charm: " &amp; LogicEngine!$G11 &amp;
 " | Flip: " &amp; LogicEngine!$J11
)</f>
        <v>Bias: Call | Regime: Long Gamma | Delta: Dealers Long (Sell Rips) | Vanna: Upside Drift | Charm: Sell Into Close | Flip: Below Flip</v>
      </c>
    </row>
    <row r="12" spans="1:15">
      <c r="A12" s="37" t="str">
        <f>RawData!A12</f>
        <v>MSFT</v>
      </c>
      <c r="B12" s="37">
        <f>RawData!B12</f>
        <v>1</v>
      </c>
      <c r="C12" s="37">
        <f t="shared" si="0"/>
        <v>10</v>
      </c>
      <c r="D12" s="37" t="str">
        <f>IF(RawData!H12="","",
   IF(RawData!H12&gt;0,"Long Gamma","Short Gamma")
)</f>
        <v>Short Gamma</v>
      </c>
      <c r="E12" s="37" t="str">
        <f>IF(RawData!K12="","",
   IF(RawData!K12&gt;0,"Dealers Long (Sell Rips)","Dealers Short (Buy Rips)")
)</f>
        <v>Dealers Long (Sell Rips)</v>
      </c>
      <c r="F12" s="37" t="str">
        <f>IF(OR(RawData!I12="",RawData!O12=""),"",
   IF(RawData!I12&gt;0,
      IF(RawData!O12&gt;50,"Downside Pressure","Upside Drift"),
      IF(RawData!O12&gt;50,"Upside Pressure","Downside Drift")
   )
)</f>
        <v>Upside Drift</v>
      </c>
      <c r="G12" s="37" t="str">
        <f>IF(RawData!J12="","",
   IF(RawData!J12&lt;0,"Sell Into Close","Buy Into Close")
)</f>
        <v>Sell Into Close</v>
      </c>
      <c r="H12" s="37" t="b">
        <f>IF(
    RawData_Query[[#This Row],[CallWallStrike]]="",
    FALSE,
    ABS(RawData_Query[[#This Row],[CallWallStrike]] - RawData_Query[[#This Row],[Price]]) / RawData_Query[[#This Row],[Price]] &lt; 0.02
)</f>
        <v>0</v>
      </c>
      <c r="I12" s="37" t="b">
        <f>IF(
    RawData_Query[[#This Row],[PutWallStrike]]="",
    FALSE,
    ABS(RawData_Query[[#This Row],[PutWallStrike]] - RawData_Query[[#This Row],[Price]]) / RawData_Query[[#This Row],[Price]] &lt; 0.02
)</f>
        <v>0</v>
      </c>
      <c r="J12" s="37" t="str">
        <f>IF(RawData!G12="","",
   IF(RawData!G12 &lt; RawData!D12,"Below Flip","Above Flip")
)</f>
        <v>Below Flip</v>
      </c>
      <c r="K12" s="37">
        <f>IF(RawData!H12="","",
   (IF(LogicEngine!$D12="Long Gamma",10,0)) +
   (IF(RawData!K12&lt;0,10,0)) +
   (IF(AND(RawData!I12&lt;0,RawData!O12&gt;50),10,0)) +
   (IF(AND(RawData!I12&gt;0,RawData!O12&lt;50),10,0)) +
   (IF(ABS(RawData!E12 - RawData!D12)/RawData!D12 &lt; 0.02,5,0)) +
   (IF(RawData!G12&gt;RawData!D12,5,0)) +
   LogicEngine!$C12
)</f>
        <v>20</v>
      </c>
      <c r="L12" s="37">
        <f>IF(RawData!H12="","",
   (IF(LogicEngine!$D12="Short Gamma",10,0)) +
   (IF(RawData!K12&gt;0,10,0)) +
   (IF(AND(RawData!I12&gt;0,RawData!O12&gt;50),10,0)) +
   (IF(AND(RawData!I12&lt;0,RawData!O12&lt;50),10,0)) +
   (IF(ABS(RawData!F12 - RawData!D12)/RawData!D12 &lt; 0.02,5,0)) +
   (IF(RawData!G12&lt;RawData!D12,5,0)) +
   LogicEngine!$C12
)</f>
        <v>35</v>
      </c>
      <c r="M12" s="37" t="str">
        <f>IF(LogicEngine!$K12&gt;LogicEngine!$L12,"Call",
   IF(LogicEngine!$L12&gt;LogicEngine!$K12,"Put","Avoid")
)</f>
        <v>Put</v>
      </c>
      <c r="N12" s="37">
        <f>MAX(LogicEngine!$K12,LogicEngine!$L12)</f>
        <v>35</v>
      </c>
      <c r="O12" s="37" t="str">
        <f>IF(LogicEngine!$D12="","",
 "Bias: " &amp; LogicEngine!$M12 &amp;
 " | Regime: " &amp; LogicEngine!$D12 &amp;
 " | Delta: " &amp; LogicEngine!$E12 &amp;
 " | Vanna: " &amp; LogicEngine!$F12 &amp;
 " | Charm: " &amp; LogicEngine!$G12 &amp;
 " | Flip: " &amp; LogicEngine!$J12
)</f>
        <v>Bias: Put | Regime: Short Gamma | Delta: Dealers Long (Sell Rips) | Vanna: Upside Drift | Charm: Sell Into Close | Flip: Below Flip</v>
      </c>
    </row>
    <row r="13" spans="1:15">
      <c r="A13" s="38" t="str">
        <f>RawData!A13</f>
        <v>NVDA</v>
      </c>
      <c r="B13" s="38">
        <f>RawData!B13</f>
        <v>1</v>
      </c>
      <c r="C13" s="38">
        <f t="shared" si="0"/>
        <v>10</v>
      </c>
      <c r="D13" s="38" t="str">
        <f>IF(RawData!H13="","",
   IF(RawData!H13&gt;0,"Long Gamma","Short Gamma")
)</f>
        <v>Long Gamma</v>
      </c>
      <c r="E13" s="38" t="str">
        <f>IF(RawData!K13="","",
   IF(RawData!K13&gt;0,"Dealers Long (Sell Rips)","Dealers Short (Buy Rips)")
)</f>
        <v>Dealers Long (Sell Rips)</v>
      </c>
      <c r="F13" s="38" t="str">
        <f>IF(OR(RawData!I13="",RawData!O13=""),"",
   IF(RawData!I13&gt;0,
      IF(RawData!O13&gt;50,"Downside Pressure","Upside Drift"),
      IF(RawData!O13&gt;50,"Upside Pressure","Downside Drift")
   )
)</f>
        <v>Upside Drift</v>
      </c>
      <c r="G13" s="38" t="str">
        <f>IF(RawData!J13="","",
   IF(RawData!J13&lt;0,"Sell Into Close","Buy Into Close")
)</f>
        <v>Sell Into Close</v>
      </c>
      <c r="H13" s="38" t="b">
        <f>IF(
    RawData_Query[[#This Row],[CallWallStrike]]="",
    FALSE,
    ABS(RawData_Query[[#This Row],[CallWallStrike]] - RawData_Query[[#This Row],[Price]]) / RawData_Query[[#This Row],[Price]] &lt; 0.02
)</f>
        <v>0</v>
      </c>
      <c r="I13" s="38" t="b">
        <f>IF(
    RawData_Query[[#This Row],[PutWallStrike]]="",
    FALSE,
    ABS(RawData_Query[[#This Row],[PutWallStrike]] - RawData_Query[[#This Row],[Price]]) / RawData_Query[[#This Row],[Price]] &lt; 0.02
)</f>
        <v>0</v>
      </c>
      <c r="J13" s="38" t="str">
        <f>IF(RawData!G13="","",
   IF(RawData!G13 &lt; RawData!D13,"Below Flip","Above Flip")
)</f>
        <v>Above Flip</v>
      </c>
      <c r="K13" s="38">
        <f>IF(RawData!H13="","",
   (IF(LogicEngine!$D13="Long Gamma",10,0)) +
   (IF(RawData!K13&lt;0,10,0)) +
   (IF(AND(RawData!I13&lt;0,RawData!O13&gt;50),10,0)) +
   (IF(AND(RawData!I13&gt;0,RawData!O13&lt;50),10,0)) +
   (IF(ABS(RawData!E13 - RawData!D13)/RawData!D13 &lt; 0.02,5,0)) +
   (IF(RawData!G13&gt;RawData!D13,5,0)) +
   LogicEngine!$C13
)</f>
        <v>35</v>
      </c>
      <c r="L13" s="38">
        <f>IF(RawData!H13="","",
   (IF(LogicEngine!$D13="Short Gamma",10,0)) +
   (IF(RawData!K13&gt;0,10,0)) +
   (IF(AND(RawData!I13&gt;0,RawData!O13&gt;50),10,0)) +
   (IF(AND(RawData!I13&lt;0,RawData!O13&lt;50),10,0)) +
   (IF(ABS(RawData!F13 - RawData!D13)/RawData!D13 &lt; 0.02,5,0)) +
   (IF(RawData!G13&lt;RawData!D13,5,0)) +
   LogicEngine!$C13
)</f>
        <v>20</v>
      </c>
      <c r="M13" s="38" t="str">
        <f>IF(LogicEngine!$K13&gt;LogicEngine!$L13,"Call",
   IF(LogicEngine!$L13&gt;LogicEngine!$K13,"Put","Avoid")
)</f>
        <v>Call</v>
      </c>
      <c r="N13" s="38">
        <f>MAX(LogicEngine!$K13,LogicEngine!$L13)</f>
        <v>35</v>
      </c>
      <c r="O13" s="38" t="str">
        <f>IF(LogicEngine!$D13="","",
 "Bias: " &amp; LogicEngine!$M13 &amp;
 " | Regime: " &amp; LogicEngine!$D13 &amp;
 " | Delta: " &amp; LogicEngine!$E13 &amp;
 " | Vanna: " &amp; LogicEngine!$F13 &amp;
 " | Charm: " &amp; LogicEngine!$G13 &amp;
 " | Flip: " &amp; LogicEngine!$J13
)</f>
        <v>Bias: Call | Regime: Long Gamma | Delta: Dealers Long (Sell Rips) | Vanna: Upside Drift | Charm: Sell Into Close | Flip: Above Flip</v>
      </c>
    </row>
    <row r="14" spans="1:15">
      <c r="A14" s="37" t="str">
        <f>RawData!A14</f>
        <v>FCX</v>
      </c>
      <c r="B14" s="37">
        <f>RawData!B14</f>
        <v>2</v>
      </c>
      <c r="C14" s="37">
        <f t="shared" si="0"/>
        <v>5</v>
      </c>
      <c r="D14" s="37" t="str">
        <f>IF(RawData!H14="","",
   IF(RawData!H14&gt;0,"Long Gamma","Short Gamma")
)</f>
        <v>Long Gamma</v>
      </c>
      <c r="E14" s="37" t="str">
        <f>IF(RawData!K14="","",
   IF(RawData!K14&gt;0,"Dealers Long (Sell Rips)","Dealers Short (Buy Rips)")
)</f>
        <v>Dealers Long (Sell Rips)</v>
      </c>
      <c r="F14" s="37" t="str">
        <f>IF(OR(RawData!I14="",RawData!O14=""),"",
   IF(RawData!I14&gt;0,
      IF(RawData!O14&gt;50,"Downside Pressure","Upside Drift"),
      IF(RawData!O14&gt;50,"Upside Pressure","Downside Drift")
   )
)</f>
        <v>Downside Pressure</v>
      </c>
      <c r="G14" s="37" t="str">
        <f>IF(RawData!J14="","",
   IF(RawData!J14&lt;0,"Sell Into Close","Buy Into Close")
)</f>
        <v>Sell Into Close</v>
      </c>
      <c r="H14" s="37" t="b">
        <f>IF(
    RawData_Query[[#This Row],[CallWallStrike]]="",
    FALSE,
    ABS(RawData_Query[[#This Row],[CallWallStrike]] - RawData_Query[[#This Row],[Price]]) / RawData_Query[[#This Row],[Price]] &lt; 0.02
)</f>
        <v>0</v>
      </c>
      <c r="I14" s="37" t="b">
        <f>IF(
    RawData_Query[[#This Row],[PutWallStrike]]="",
    FALSE,
    ABS(RawData_Query[[#This Row],[PutWallStrike]] - RawData_Query[[#This Row],[Price]]) / RawData_Query[[#This Row],[Price]] &lt; 0.02
)</f>
        <v>0</v>
      </c>
      <c r="J14" s="37" t="str">
        <f>IF(RawData!G14="","",
   IF(RawData!G14 &lt; RawData!D14,"Below Flip","Above Flip")
)</f>
        <v>Below Flip</v>
      </c>
      <c r="K14" s="37">
        <f>IF(RawData!H14="","",
   (IF(LogicEngine!$D14="Long Gamma",10,0)) +
   (IF(RawData!K14&lt;0,10,0)) +
   (IF(AND(RawData!I14&lt;0,RawData!O14&gt;50),10,0)) +
   (IF(AND(RawData!I14&gt;0,RawData!O14&lt;50),10,0)) +
   (IF(ABS(RawData!E14 - RawData!D14)/RawData!D14 &lt; 0.02,5,0)) +
   (IF(RawData!G14&gt;RawData!D14,5,0)) +
   LogicEngine!$C14
)</f>
        <v>15</v>
      </c>
      <c r="L14" s="37">
        <f>IF(RawData!H14="","",
   (IF(LogicEngine!$D14="Short Gamma",10,0)) +
   (IF(RawData!K14&gt;0,10,0)) +
   (IF(AND(RawData!I14&gt;0,RawData!O14&gt;50),10,0)) +
   (IF(AND(RawData!I14&lt;0,RawData!O14&lt;50),10,0)) +
   (IF(ABS(RawData!F14 - RawData!D14)/RawData!D14 &lt; 0.02,5,0)) +
   (IF(RawData!G14&lt;RawData!D14,5,0)) +
   LogicEngine!$C14
)</f>
        <v>30</v>
      </c>
      <c r="M14" s="37" t="str">
        <f>IF(LogicEngine!$K14&gt;LogicEngine!$L14,"Call",
   IF(LogicEngine!$L14&gt;LogicEngine!$K14,"Put","Avoid")
)</f>
        <v>Put</v>
      </c>
      <c r="N14" s="37">
        <f>MAX(LogicEngine!$K14,LogicEngine!$L14)</f>
        <v>30</v>
      </c>
      <c r="O14" s="37" t="str">
        <f>IF(LogicEngine!$D14="","",
 "Bias: " &amp; LogicEngine!$M14 &amp;
 " | Regime: " &amp; LogicEngine!$D14 &amp;
 " | Delta: " &amp; LogicEngine!$E14 &amp;
 " | Vanna: " &amp; LogicEngine!$F14 &amp;
 " | Charm: " &amp; LogicEngine!$G14 &amp;
 " | Flip: " &amp; LogicEngine!$J14
)</f>
        <v>Bias: Put | Regime: Long Gamma | Delta: Dealers Long (Sell Rips) | Vanna: Downside Pressure | Charm: Sell Into Close | Flip: Below Flip</v>
      </c>
    </row>
    <row r="15" spans="1:15">
      <c r="A15" s="38" t="str">
        <f>RawData!A15</f>
        <v>CCJ</v>
      </c>
      <c r="B15" s="38">
        <f>RawData!B15</f>
        <v>2</v>
      </c>
      <c r="C15" s="38">
        <f t="shared" si="0"/>
        <v>5</v>
      </c>
      <c r="D15" s="38" t="str">
        <f>IF(RawData!H15="","",
   IF(RawData!H15&gt;0,"Long Gamma","Short Gamma")
)</f>
        <v>Short Gamma</v>
      </c>
      <c r="E15" s="38" t="str">
        <f>IF(RawData!K15="","",
   IF(RawData!K15&gt;0,"Dealers Long (Sell Rips)","Dealers Short (Buy Rips)")
)</f>
        <v>Dealers Long (Sell Rips)</v>
      </c>
      <c r="F15" s="38" t="str">
        <f>IF(OR(RawData!I15="",RawData!O15=""),"",
   IF(RawData!I15&gt;0,
      IF(RawData!O15&gt;50,"Downside Pressure","Upside Drift"),
      IF(RawData!O15&gt;50,"Upside Pressure","Downside Drift")
   )
)</f>
        <v>Downside Pressure</v>
      </c>
      <c r="G15" s="38" t="str">
        <f>IF(RawData!J15="","",
   IF(RawData!J15&lt;0,"Sell Into Close","Buy Into Close")
)</f>
        <v>Sell Into Close</v>
      </c>
      <c r="H15" s="38" t="b">
        <f>IF(
    RawData_Query[[#This Row],[CallWallStrike]]="",
    FALSE,
    ABS(RawData_Query[[#This Row],[CallWallStrike]] - RawData_Query[[#This Row],[Price]]) / RawData_Query[[#This Row],[Price]] &lt; 0.02
)</f>
        <v>0</v>
      </c>
      <c r="I15" s="38" t="b">
        <f>IF(
    RawData_Query[[#This Row],[PutWallStrike]]="",
    FALSE,
    ABS(RawData_Query[[#This Row],[PutWallStrike]] - RawData_Query[[#This Row],[Price]]) / RawData_Query[[#This Row],[Price]] &lt; 0.02
)</f>
        <v>0</v>
      </c>
      <c r="J15" s="38" t="str">
        <f>IF(RawData!G15="","",
   IF(RawData!G15 &lt; RawData!D15,"Below Flip","Above Flip")
)</f>
        <v>Below Flip</v>
      </c>
      <c r="K15" s="38">
        <f>IF(RawData!H15="","",
   (IF(LogicEngine!$D15="Long Gamma",10,0)) +
   (IF(RawData!K15&lt;0,10,0)) +
   (IF(AND(RawData!I15&lt;0,RawData!O15&gt;50),10,0)) +
   (IF(AND(RawData!I15&gt;0,RawData!O15&lt;50),10,0)) +
   (IF(ABS(RawData!E15 - RawData!D15)/RawData!D15 &lt; 0.02,5,0)) +
   (IF(RawData!G15&gt;RawData!D15,5,0)) +
   LogicEngine!$C15
)</f>
        <v>5</v>
      </c>
      <c r="L15" s="38">
        <f>IF(RawData!H15="","",
   (IF(LogicEngine!$D15="Short Gamma",10,0)) +
   (IF(RawData!K15&gt;0,10,0)) +
   (IF(AND(RawData!I15&gt;0,RawData!O15&gt;50),10,0)) +
   (IF(AND(RawData!I15&lt;0,RawData!O15&lt;50),10,0)) +
   (IF(ABS(RawData!F15 - RawData!D15)/RawData!D15 &lt; 0.02,5,0)) +
   (IF(RawData!G15&lt;RawData!D15,5,0)) +
   LogicEngine!$C15
)</f>
        <v>40</v>
      </c>
      <c r="M15" s="38" t="str">
        <f>IF(LogicEngine!$K15&gt;LogicEngine!$L15,"Call",
   IF(LogicEngine!$L15&gt;LogicEngine!$K15,"Put","Avoid")
)</f>
        <v>Put</v>
      </c>
      <c r="N15" s="38">
        <f>MAX(LogicEngine!$K15,LogicEngine!$L15)</f>
        <v>40</v>
      </c>
      <c r="O15" s="38" t="str">
        <f>IF(LogicEngine!$D15="","",
 "Bias: " &amp; LogicEngine!$M15 &amp;
 " | Regime: " &amp; LogicEngine!$D15 &amp;
 " | Delta: " &amp; LogicEngine!$E15 &amp;
 " | Vanna: " &amp; LogicEngine!$F15 &amp;
 " | Charm: " &amp; LogicEngine!$G15 &amp;
 " | Flip: " &amp; LogicEngine!$J15
)</f>
        <v>Bias: Put | Regime: Short Gamma | Delta: Dealers Long (Sell Rips) | Vanna: Downside Pressure | Charm: Sell Into Close | Flip: Below Flip</v>
      </c>
    </row>
    <row r="16" spans="1:15">
      <c r="A16" s="37" t="str">
        <f>RawData!A16</f>
        <v>NEM</v>
      </c>
      <c r="B16" s="37">
        <f>RawData!B16</f>
        <v>2</v>
      </c>
      <c r="C16" s="37">
        <f t="shared" si="0"/>
        <v>5</v>
      </c>
      <c r="D16" s="37" t="str">
        <f>IF(RawData!H16="","",
   IF(RawData!H16&gt;0,"Long Gamma","Short Gamma")
)</f>
        <v>Short Gamma</v>
      </c>
      <c r="E16" s="37" t="str">
        <f>IF(RawData!K16="","",
   IF(RawData!K16&gt;0,"Dealers Long (Sell Rips)","Dealers Short (Buy Rips)")
)</f>
        <v>Dealers Long (Sell Rips)</v>
      </c>
      <c r="F16" s="37" t="str">
        <f>IF(OR(RawData!I16="",RawData!O16=""),"",
   IF(RawData!I16&gt;0,
      IF(RawData!O16&gt;50,"Downside Pressure","Upside Drift"),
      IF(RawData!O16&gt;50,"Upside Pressure","Downside Drift")
   )
)</f>
        <v>Upside Drift</v>
      </c>
      <c r="G16" s="37" t="str">
        <f>IF(RawData!J16="","",
   IF(RawData!J16&lt;0,"Sell Into Close","Buy Into Close")
)</f>
        <v>Sell Into Close</v>
      </c>
      <c r="H16" s="37" t="b">
        <f>IF(
    RawData_Query[[#This Row],[CallWallStrike]]="",
    FALSE,
    ABS(RawData_Query[[#This Row],[CallWallStrike]] - RawData_Query[[#This Row],[Price]]) / RawData_Query[[#This Row],[Price]] &lt; 0.02
)</f>
        <v>0</v>
      </c>
      <c r="I16" s="37" t="b">
        <f>IF(
    RawData_Query[[#This Row],[PutWallStrike]]="",
    FALSE,
    ABS(RawData_Query[[#This Row],[PutWallStrike]] - RawData_Query[[#This Row],[Price]]) / RawData_Query[[#This Row],[Price]] &lt; 0.02
)</f>
        <v>0</v>
      </c>
      <c r="J16" s="37" t="str">
        <f>IF(RawData!G16="","",
   IF(RawData!G16 &lt; RawData!D16,"Below Flip","Above Flip")
)</f>
        <v>Below Flip</v>
      </c>
      <c r="K16" s="37">
        <f>IF(RawData!H16="","",
   (IF(LogicEngine!$D16="Long Gamma",10,0)) +
   (IF(RawData!K16&lt;0,10,0)) +
   (IF(AND(RawData!I16&lt;0,RawData!O16&gt;50),10,0)) +
   (IF(AND(RawData!I16&gt;0,RawData!O16&lt;50),10,0)) +
   (IF(ABS(RawData!E16 - RawData!D16)/RawData!D16 &lt; 0.02,5,0)) +
   (IF(RawData!G16&gt;RawData!D16,5,0)) +
   LogicEngine!$C16
)</f>
        <v>15</v>
      </c>
      <c r="L16" s="37">
        <f>IF(RawData!H16="","",
   (IF(LogicEngine!$D16="Short Gamma",10,0)) +
   (IF(RawData!K16&gt;0,10,0)) +
   (IF(AND(RawData!I16&gt;0,RawData!O16&gt;50),10,0)) +
   (IF(AND(RawData!I16&lt;0,RawData!O16&lt;50),10,0)) +
   (IF(ABS(RawData!F16 - RawData!D16)/RawData!D16 &lt; 0.02,5,0)) +
   (IF(RawData!G16&lt;RawData!D16,5,0)) +
   LogicEngine!$C16
)</f>
        <v>30</v>
      </c>
      <c r="M16" s="37" t="str">
        <f>IF(LogicEngine!$K16&gt;LogicEngine!$L16,"Call",
   IF(LogicEngine!$L16&gt;LogicEngine!$K16,"Put","Avoid")
)</f>
        <v>Put</v>
      </c>
      <c r="N16" s="37">
        <f>MAX(LogicEngine!$K16,LogicEngine!$L16)</f>
        <v>30</v>
      </c>
      <c r="O16" s="37" t="str">
        <f>IF(LogicEngine!$D16="","",
 "Bias: " &amp; LogicEngine!$M16 &amp;
 " | Regime: " &amp; LogicEngine!$D16 &amp;
 " | Delta: " &amp; LogicEngine!$E16 &amp;
 " | Vanna: " &amp; LogicEngine!$F16 &amp;
 " | Charm: " &amp; LogicEngine!$G16 &amp;
 " | Flip: " &amp; LogicEngine!$J16
)</f>
        <v>Bias: Put | Regime: Short Gamma | Delta: Dealers Long (Sell Rips) | Vanna: Upside Drift | Charm: Sell Into Close | Flip: Below Flip</v>
      </c>
    </row>
    <row r="17" spans="1:15">
      <c r="A17" s="38" t="str">
        <f>RawData!A17</f>
        <v>VALE</v>
      </c>
      <c r="B17" s="38">
        <f>RawData!B17</f>
        <v>2</v>
      </c>
      <c r="C17" s="38">
        <f t="shared" si="0"/>
        <v>5</v>
      </c>
      <c r="D17" s="38" t="str">
        <f>IF(RawData!H17="","",
   IF(RawData!H17&gt;0,"Long Gamma","Short Gamma")
)</f>
        <v>Long Gamma</v>
      </c>
      <c r="E17" s="38" t="str">
        <f>IF(RawData!K17="","",
   IF(RawData!K17&gt;0,"Dealers Long (Sell Rips)","Dealers Short (Buy Rips)")
)</f>
        <v>Dealers Long (Sell Rips)</v>
      </c>
      <c r="F17" s="38" t="str">
        <f>IF(OR(RawData!I17="",RawData!O17=""),"",
   IF(RawData!I17&gt;0,
      IF(RawData!O17&gt;50,"Downside Pressure","Upside Drift"),
      IF(RawData!O17&gt;50,"Upside Pressure","Downside Drift")
   )
)</f>
        <v>Downside Pressure</v>
      </c>
      <c r="G17" s="38" t="str">
        <f>IF(RawData!J17="","",
   IF(RawData!J17&lt;0,"Sell Into Close","Buy Into Close")
)</f>
        <v>Sell Into Close</v>
      </c>
      <c r="H17" s="38" t="b">
        <f>IF(
    RawData_Query[[#This Row],[CallWallStrike]]="",
    FALSE,
    ABS(RawData_Query[[#This Row],[CallWallStrike]] - RawData_Query[[#This Row],[Price]]) / RawData_Query[[#This Row],[Price]] &lt; 0.02
)</f>
        <v>0</v>
      </c>
      <c r="I17" s="38" t="b">
        <f>IF(
    RawData_Query[[#This Row],[PutWallStrike]]="",
    FALSE,
    ABS(RawData_Query[[#This Row],[PutWallStrike]] - RawData_Query[[#This Row],[Price]]) / RawData_Query[[#This Row],[Price]] &lt; 0.02
)</f>
        <v>0</v>
      </c>
      <c r="J17" s="38" t="str">
        <f>IF(RawData!G17="","",
   IF(RawData!G17 &lt; RawData!D17,"Below Flip","Above Flip")
)</f>
        <v>Below Flip</v>
      </c>
      <c r="K17" s="38">
        <f>IF(RawData!H17="","",
   (IF(LogicEngine!$D17="Long Gamma",10,0)) +
   (IF(RawData!K17&lt;0,10,0)) +
   (IF(AND(RawData!I17&lt;0,RawData!O17&gt;50),10,0)) +
   (IF(AND(RawData!I17&gt;0,RawData!O17&lt;50),10,0)) +
   (IF(ABS(RawData!E17 - RawData!D17)/RawData!D17 &lt; 0.02,5,0)) +
   (IF(RawData!G17&gt;RawData!D17,5,0)) +
   LogicEngine!$C17
)</f>
        <v>15</v>
      </c>
      <c r="L17" s="38">
        <f>IF(RawData!H17="","",
   (IF(LogicEngine!$D17="Short Gamma",10,0)) +
   (IF(RawData!K17&gt;0,10,0)) +
   (IF(AND(RawData!I17&gt;0,RawData!O17&gt;50),10,0)) +
   (IF(AND(RawData!I17&lt;0,RawData!O17&lt;50),10,0)) +
   (IF(ABS(RawData!F17 - RawData!D17)/RawData!D17 &lt; 0.02,5,0)) +
   (IF(RawData!G17&lt;RawData!D17,5,0)) +
   LogicEngine!$C17
)</f>
        <v>30</v>
      </c>
      <c r="M17" s="38" t="str">
        <f>IF(LogicEngine!$K17&gt;LogicEngine!$L17,"Call",
   IF(LogicEngine!$L17&gt;LogicEngine!$K17,"Put","Avoid")
)</f>
        <v>Put</v>
      </c>
      <c r="N17" s="38">
        <f>MAX(LogicEngine!$K17,LogicEngine!$L17)</f>
        <v>30</v>
      </c>
      <c r="O17" s="38" t="str">
        <f>IF(LogicEngine!$D17="","",
 "Bias: " &amp; LogicEngine!$M17 &amp;
 " | Regime: " &amp; LogicEngine!$D17 &amp;
 " | Delta: " &amp; LogicEngine!$E17 &amp;
 " | Vanna: " &amp; LogicEngine!$F17 &amp;
 " | Charm: " &amp; LogicEngine!$G17 &amp;
 " | Flip: " &amp; LogicEngine!$J17
)</f>
        <v>Bias: Put | Regime: Long Gamma | Delta: Dealers Long (Sell Rips) | Vanna: Downside Pressure | Charm: Sell Into Close | Flip: Below Flip</v>
      </c>
    </row>
    <row r="18" spans="1:15">
      <c r="A18" s="37" t="str">
        <f>RawData!A18</f>
        <v>IBM</v>
      </c>
      <c r="B18" s="37">
        <f>RawData!B18</f>
        <v>1</v>
      </c>
      <c r="C18" s="37">
        <f t="shared" si="0"/>
        <v>10</v>
      </c>
      <c r="D18" s="37" t="str">
        <f>IF(RawData!H18="","",
   IF(RawData!H18&gt;0,"Long Gamma","Short Gamma")
)</f>
        <v>Long Gamma</v>
      </c>
      <c r="E18" s="37" t="str">
        <f>IF(RawData!K18="","",
   IF(RawData!K18&gt;0,"Dealers Long (Sell Rips)","Dealers Short (Buy Rips)")
)</f>
        <v>Dealers Long (Sell Rips)</v>
      </c>
      <c r="F18" s="37" t="str">
        <f>IF(OR(RawData!I18="",RawData!O18=""),"",
   IF(RawData!I18&gt;0,
      IF(RawData!O18&gt;50,"Downside Pressure","Upside Drift"),
      IF(RawData!O18&gt;50,"Upside Pressure","Downside Drift")
   )
)</f>
        <v>Downside Pressure</v>
      </c>
      <c r="G18" s="37" t="str">
        <f>IF(RawData!J18="","",
   IF(RawData!J18&lt;0,"Sell Into Close","Buy Into Close")
)</f>
        <v>Sell Into Close</v>
      </c>
      <c r="H18" s="37" t="b">
        <f>IF(
    RawData_Query[[#This Row],[CallWallStrike]]="",
    FALSE,
    ABS(RawData_Query[[#This Row],[CallWallStrike]] - RawData_Query[[#This Row],[Price]]) / RawData_Query[[#This Row],[Price]] &lt; 0.02
)</f>
        <v>0</v>
      </c>
      <c r="I18" s="37" t="b">
        <f>IF(
    RawData_Query[[#This Row],[PutWallStrike]]="",
    FALSE,
    ABS(RawData_Query[[#This Row],[PutWallStrike]] - RawData_Query[[#This Row],[Price]]) / RawData_Query[[#This Row],[Price]] &lt; 0.02
)</f>
        <v>0</v>
      </c>
      <c r="J18" s="37" t="str">
        <f>IF(RawData!G18="","",
   IF(RawData!G18 &lt; RawData!D18,"Below Flip","Above Flip")
)</f>
        <v>Below Flip</v>
      </c>
      <c r="K18" s="37">
        <f>IF(RawData!H18="","",
   (IF(LogicEngine!$D18="Long Gamma",10,0)) +
   (IF(RawData!K18&lt;0,10,0)) +
   (IF(AND(RawData!I18&lt;0,RawData!O18&gt;50),10,0)) +
   (IF(AND(RawData!I18&gt;0,RawData!O18&lt;50),10,0)) +
   (IF(ABS(RawData!E18 - RawData!D18)/RawData!D18 &lt; 0.02,5,0)) +
   (IF(RawData!G18&gt;RawData!D18,5,0)) +
   LogicEngine!$C18
)</f>
        <v>20</v>
      </c>
      <c r="L18" s="37">
        <f>IF(RawData!H18="","",
   (IF(LogicEngine!$D18="Short Gamma",10,0)) +
   (IF(RawData!K18&gt;0,10,0)) +
   (IF(AND(RawData!I18&gt;0,RawData!O18&gt;50),10,0)) +
   (IF(AND(RawData!I18&lt;0,RawData!O18&lt;50),10,0)) +
   (IF(ABS(RawData!F18 - RawData!D18)/RawData!D18 &lt; 0.02,5,0)) +
   (IF(RawData!G18&lt;RawData!D18,5,0)) +
   LogicEngine!$C18
)</f>
        <v>35</v>
      </c>
      <c r="M18" s="37" t="str">
        <f>IF(LogicEngine!$K18&gt;LogicEngine!$L18,"Call",
   IF(LogicEngine!$L18&gt;LogicEngine!$K18,"Put","Avoid")
)</f>
        <v>Put</v>
      </c>
      <c r="N18" s="37">
        <f>MAX(LogicEngine!$K18,LogicEngine!$L18)</f>
        <v>35</v>
      </c>
      <c r="O18" s="37" t="str">
        <f>IF(LogicEngine!$D18="","",
 "Bias: " &amp; LogicEngine!$M18 &amp;
 " | Regime: " &amp; LogicEngine!$D18 &amp;
 " | Delta: " &amp; LogicEngine!$E18 &amp;
 " | Vanna: " &amp; LogicEngine!$F18 &amp;
 " | Charm: " &amp; LogicEngine!$G18 &amp;
 " | Flip: " &amp; LogicEngine!$J18
)</f>
        <v>Bias: Put | Regime: Long Gamma | Delta: Dealers Long (Sell Rips) | Vanna: Downside Pressure | Charm: Sell Into Close | Flip: Below Flip</v>
      </c>
    </row>
    <row r="19" spans="1:15">
      <c r="A19" s="38" t="str">
        <f>RawData!A19</f>
        <v>CRWV</v>
      </c>
      <c r="B19" s="38">
        <f>RawData!B19</f>
        <v>3</v>
      </c>
      <c r="C19" s="38">
        <f t="shared" si="0"/>
        <v>0</v>
      </c>
      <c r="D19" s="38" t="str">
        <f>IF(RawData!H19="","",
   IF(RawData!H19&gt;0,"Long Gamma","Short Gamma")
)</f>
        <v>Long Gamma</v>
      </c>
      <c r="E19" s="38" t="str">
        <f>IF(RawData!K19="","",
   IF(RawData!K19&gt;0,"Dealers Long (Sell Rips)","Dealers Short (Buy Rips)")
)</f>
        <v>Dealers Long (Sell Rips)</v>
      </c>
      <c r="F19" s="38" t="str">
        <f>IF(OR(RawData!I19="",RawData!O19=""),"",
   IF(RawData!I19&gt;0,
      IF(RawData!O19&gt;50,"Downside Pressure","Upside Drift"),
      IF(RawData!O19&gt;50,"Upside Pressure","Downside Drift")
   )
)</f>
        <v>Upside Drift</v>
      </c>
      <c r="G19" s="38" t="str">
        <f>IF(RawData!J19="","",
   IF(RawData!J19&lt;0,"Sell Into Close","Buy Into Close")
)</f>
        <v>Sell Into Close</v>
      </c>
      <c r="H19" s="38" t="b">
        <f>IF(
    RawData_Query[[#This Row],[CallWallStrike]]="",
    FALSE,
    ABS(RawData_Query[[#This Row],[CallWallStrike]] - RawData_Query[[#This Row],[Price]]) / RawData_Query[[#This Row],[Price]] &lt; 0.02
)</f>
        <v>0</v>
      </c>
      <c r="I19" s="38" t="b">
        <f>IF(
    RawData_Query[[#This Row],[PutWallStrike]]="",
    FALSE,
    ABS(RawData_Query[[#This Row],[PutWallStrike]] - RawData_Query[[#This Row],[Price]]) / RawData_Query[[#This Row],[Price]] &lt; 0.02
)</f>
        <v>0</v>
      </c>
      <c r="J19" s="38" t="str">
        <f>IF(RawData!G19="","",
   IF(RawData!G19 &lt; RawData!D19,"Below Flip","Above Flip")
)</f>
        <v>Below Flip</v>
      </c>
      <c r="K19" s="38">
        <f>IF(RawData!H19="","",
   (IF(LogicEngine!$D19="Long Gamma",10,0)) +
   (IF(RawData!K19&lt;0,10,0)) +
   (IF(AND(RawData!I19&lt;0,RawData!O19&gt;50),10,0)) +
   (IF(AND(RawData!I19&gt;0,RawData!O19&lt;50),10,0)) +
   (IF(ABS(RawData!E19 - RawData!D19)/RawData!D19 &lt; 0.02,5,0)) +
   (IF(RawData!G19&gt;RawData!D19,5,0)) +
   LogicEngine!$C19
)</f>
        <v>20</v>
      </c>
      <c r="L19" s="38">
        <f>IF(RawData!H19="","",
   (IF(LogicEngine!$D19="Short Gamma",10,0)) +
   (IF(RawData!K19&gt;0,10,0)) +
   (IF(AND(RawData!I19&gt;0,RawData!O19&gt;50),10,0)) +
   (IF(AND(RawData!I19&lt;0,RawData!O19&lt;50),10,0)) +
   (IF(ABS(RawData!F19 - RawData!D19)/RawData!D19 &lt; 0.02,5,0)) +
   (IF(RawData!G19&lt;RawData!D19,5,0)) +
   LogicEngine!$C19
)</f>
        <v>15</v>
      </c>
      <c r="M19" s="38" t="str">
        <f>IF(LogicEngine!$K19&gt;LogicEngine!$L19,"Call",
   IF(LogicEngine!$L19&gt;LogicEngine!$K19,"Put","Avoid")
)</f>
        <v>Call</v>
      </c>
      <c r="N19" s="38">
        <f>MAX(LogicEngine!$K19,LogicEngine!$L19)</f>
        <v>20</v>
      </c>
      <c r="O19" s="38" t="str">
        <f>IF(LogicEngine!$D19="","",
 "Bias: " &amp; LogicEngine!$M19 &amp;
 " | Regime: " &amp; LogicEngine!$D19 &amp;
 " | Delta: " &amp; LogicEngine!$E19 &amp;
 " | Vanna: " &amp; LogicEngine!$F19 &amp;
 " | Charm: " &amp; LogicEngine!$G19 &amp;
 " | Flip: " &amp; LogicEngine!$J19
)</f>
        <v>Bias: Call | Regime: Long Gamma | Delta: Dealers Long (Sell Rips) | Vanna: Upside Drift | Charm: Sell Into Close | Flip: Below Flip</v>
      </c>
    </row>
    <row r="20" spans="1:15">
      <c r="A20" s="37" t="str">
        <f>RawData!A20</f>
        <v>CSCO</v>
      </c>
      <c r="B20" s="37">
        <f>RawData!B20</f>
        <v>1</v>
      </c>
      <c r="C20" s="37">
        <f t="shared" si="0"/>
        <v>10</v>
      </c>
      <c r="D20" s="37" t="str">
        <f>IF(RawData!H20="","",
   IF(RawData!H20&gt;0,"Long Gamma","Short Gamma")
)</f>
        <v>Long Gamma</v>
      </c>
      <c r="E20" s="37" t="str">
        <f>IF(RawData!K20="","",
   IF(RawData!K20&gt;0,"Dealers Long (Sell Rips)","Dealers Short (Buy Rips)")
)</f>
        <v>Dealers Long (Sell Rips)</v>
      </c>
      <c r="F20" s="37" t="str">
        <f>IF(OR(RawData!I20="",RawData!O20=""),"",
   IF(RawData!I20&gt;0,
      IF(RawData!O20&gt;50,"Downside Pressure","Upside Drift"),
      IF(RawData!O20&gt;50,"Upside Pressure","Downside Drift")
   )
)</f>
        <v>Downside Pressure</v>
      </c>
      <c r="G20" s="37" t="str">
        <f>IF(RawData!J20="","",
   IF(RawData!J20&lt;0,"Sell Into Close","Buy Into Close")
)</f>
        <v>Sell Into Close</v>
      </c>
      <c r="H20" s="37" t="b">
        <f>IF(
    RawData_Query[[#This Row],[CallWallStrike]]="",
    FALSE,
    ABS(RawData_Query[[#This Row],[CallWallStrike]] - RawData_Query[[#This Row],[Price]]) / RawData_Query[[#This Row],[Price]] &lt; 0.02
)</f>
        <v>1</v>
      </c>
      <c r="I20" s="37" t="b">
        <f>IF(
    RawData_Query[[#This Row],[PutWallStrike]]="",
    FALSE,
    ABS(RawData_Query[[#This Row],[PutWallStrike]] - RawData_Query[[#This Row],[Price]]) / RawData_Query[[#This Row],[Price]] &lt; 0.02
)</f>
        <v>0</v>
      </c>
      <c r="J20" s="37" t="str">
        <f>IF(RawData!G20="","",
   IF(RawData!G20 &lt; RawData!D20,"Below Flip","Above Flip")
)</f>
        <v>Below Flip</v>
      </c>
      <c r="K20" s="37">
        <f>IF(RawData!H20="","",
   (IF(LogicEngine!$D20="Long Gamma",10,0)) +
   (IF(RawData!K20&lt;0,10,0)) +
   (IF(AND(RawData!I20&lt;0,RawData!O20&gt;50),10,0)) +
   (IF(AND(RawData!I20&gt;0,RawData!O20&lt;50),10,0)) +
   (IF(ABS(RawData!E20 - RawData!D20)/RawData!D20 &lt; 0.02,5,0)) +
   (IF(RawData!G20&gt;RawData!D20,5,0)) +
   LogicEngine!$C20
)</f>
        <v>25</v>
      </c>
      <c r="L20" s="37">
        <f>IF(RawData!H20="","",
   (IF(LogicEngine!$D20="Short Gamma",10,0)) +
   (IF(RawData!K20&gt;0,10,0)) +
   (IF(AND(RawData!I20&gt;0,RawData!O20&gt;50),10,0)) +
   (IF(AND(RawData!I20&lt;0,RawData!O20&lt;50),10,0)) +
   (IF(ABS(RawData!F20 - RawData!D20)/RawData!D20 &lt; 0.02,5,0)) +
   (IF(RawData!G20&lt;RawData!D20,5,0)) +
   LogicEngine!$C20
)</f>
        <v>35</v>
      </c>
      <c r="M20" s="37" t="str">
        <f>IF(LogicEngine!$K20&gt;LogicEngine!$L20,"Call",
   IF(LogicEngine!$L20&gt;LogicEngine!$K20,"Put","Avoid")
)</f>
        <v>Put</v>
      </c>
      <c r="N20" s="37">
        <f>MAX(LogicEngine!$K20,LogicEngine!$L20)</f>
        <v>35</v>
      </c>
      <c r="O20" s="37" t="str">
        <f>IF(LogicEngine!$D20="","",
 "Bias: " &amp; LogicEngine!$M20 &amp;
 " | Regime: " &amp; LogicEngine!$D20 &amp;
 " | Delta: " &amp; LogicEngine!$E20 &amp;
 " | Vanna: " &amp; LogicEngine!$F20 &amp;
 " | Charm: " &amp; LogicEngine!$G20 &amp;
 " | Flip: " &amp; LogicEngine!$J20
)</f>
        <v>Bias: Put | Regime: Long Gamma | Delta: Dealers Long (Sell Rips) | Vanna: Downside Pressure | Charm: Sell Into Close | Flip: Below Flip</v>
      </c>
    </row>
    <row r="21" spans="1:15">
      <c r="A21" s="38" t="str">
        <f>RawData!A21</f>
        <v>PANW</v>
      </c>
      <c r="B21" s="38">
        <f>RawData!B21</f>
        <v>1</v>
      </c>
      <c r="C21" s="38">
        <f t="shared" si="0"/>
        <v>10</v>
      </c>
      <c r="D21" s="38" t="str">
        <f>IF(RawData!H21="","",
   IF(RawData!H21&gt;0,"Long Gamma","Short Gamma")
)</f>
        <v>Short Gamma</v>
      </c>
      <c r="E21" s="38" t="str">
        <f>IF(RawData!K21="","",
   IF(RawData!K21&gt;0,"Dealers Long (Sell Rips)","Dealers Short (Buy Rips)")
)</f>
        <v>Dealers Long (Sell Rips)</v>
      </c>
      <c r="F21" s="38" t="str">
        <f>IF(OR(RawData!I21="",RawData!O21=""),"",
   IF(RawData!I21&gt;0,
      IF(RawData!O21&gt;50,"Downside Pressure","Upside Drift"),
      IF(RawData!O21&gt;50,"Upside Pressure","Downside Drift")
   )
)</f>
        <v>Downside Pressure</v>
      </c>
      <c r="G21" s="38" t="str">
        <f>IF(RawData!J21="","",
   IF(RawData!J21&lt;0,"Sell Into Close","Buy Into Close")
)</f>
        <v>Sell Into Close</v>
      </c>
      <c r="H21" s="38" t="b">
        <f>IF(
    RawData_Query[[#This Row],[CallWallStrike]]="",
    FALSE,
    ABS(RawData_Query[[#This Row],[CallWallStrike]] - RawData_Query[[#This Row],[Price]]) / RawData_Query[[#This Row],[Price]] &lt; 0.02
)</f>
        <v>0</v>
      </c>
      <c r="I21" s="38" t="b">
        <f>IF(
    RawData_Query[[#This Row],[PutWallStrike]]="",
    FALSE,
    ABS(RawData_Query[[#This Row],[PutWallStrike]] - RawData_Query[[#This Row],[Price]]) / RawData_Query[[#This Row],[Price]] &lt; 0.02
)</f>
        <v>0</v>
      </c>
      <c r="J21" s="38" t="str">
        <f>IF(RawData!G21="","",
   IF(RawData!G21 &lt; RawData!D21,"Below Flip","Above Flip")
)</f>
        <v>Below Flip</v>
      </c>
      <c r="K21" s="38">
        <f>IF(RawData!H21="","",
   (IF(LogicEngine!$D21="Long Gamma",10,0)) +
   (IF(RawData!K21&lt;0,10,0)) +
   (IF(AND(RawData!I21&lt;0,RawData!O21&gt;50),10,0)) +
   (IF(AND(RawData!I21&gt;0,RawData!O21&lt;50),10,0)) +
   (IF(ABS(RawData!E21 - RawData!D21)/RawData!D21 &lt; 0.02,5,0)) +
   (IF(RawData!G21&gt;RawData!D21,5,0)) +
   LogicEngine!$C21
)</f>
        <v>10</v>
      </c>
      <c r="L21" s="38">
        <f>IF(RawData!H21="","",
   (IF(LogicEngine!$D21="Short Gamma",10,0)) +
   (IF(RawData!K21&gt;0,10,0)) +
   (IF(AND(RawData!I21&gt;0,RawData!O21&gt;50),10,0)) +
   (IF(AND(RawData!I21&lt;0,RawData!O21&lt;50),10,0)) +
   (IF(ABS(RawData!F21 - RawData!D21)/RawData!D21 &lt; 0.02,5,0)) +
   (IF(RawData!G21&lt;RawData!D21,5,0)) +
   LogicEngine!$C21
)</f>
        <v>45</v>
      </c>
      <c r="M21" s="38" t="str">
        <f>IF(LogicEngine!$K21&gt;LogicEngine!$L21,"Call",
   IF(LogicEngine!$L21&gt;LogicEngine!$K21,"Put","Avoid")
)</f>
        <v>Put</v>
      </c>
      <c r="N21" s="38">
        <f>MAX(LogicEngine!$K21,LogicEngine!$L21)</f>
        <v>45</v>
      </c>
      <c r="O21" s="38" t="str">
        <f>IF(LogicEngine!$D21="","",
 "Bias: " &amp; LogicEngine!$M21 &amp;
 " | Regime: " &amp; LogicEngine!$D21 &amp;
 " | Delta: " &amp; LogicEngine!$E21 &amp;
 " | Vanna: " &amp; LogicEngine!$F21 &amp;
 " | Charm: " &amp; LogicEngine!$G21 &amp;
 " | Flip: " &amp; LogicEngine!$J21
)</f>
        <v>Bias: Put | Regime: Short Gamma | Delta: Dealers Long (Sell Rips) | Vanna: Downside Pressure | Charm: Sell Into Close | Flip: Below Flip</v>
      </c>
    </row>
    <row r="22" spans="1:15">
      <c r="A22" s="37" t="str">
        <f>RawData!A22</f>
        <v>ORCL</v>
      </c>
      <c r="B22" s="37">
        <f>RawData!B22</f>
        <v>1</v>
      </c>
      <c r="C22" s="37">
        <f t="shared" si="0"/>
        <v>10</v>
      </c>
      <c r="D22" s="37" t="str">
        <f>IF(RawData!H22="","",
   IF(RawData!H22&gt;0,"Long Gamma","Short Gamma")
)</f>
        <v>Short Gamma</v>
      </c>
      <c r="E22" s="37" t="str">
        <f>IF(RawData!K22="","",
   IF(RawData!K22&gt;0,"Dealers Long (Sell Rips)","Dealers Short (Buy Rips)")
)</f>
        <v>Dealers Long (Sell Rips)</v>
      </c>
      <c r="F22" s="37" t="str">
        <f>IF(OR(RawData!I22="",RawData!O22=""),"",
   IF(RawData!I22&gt;0,
      IF(RawData!O22&gt;50,"Downside Pressure","Upside Drift"),
      IF(RawData!O22&gt;50,"Upside Pressure","Downside Drift")
   )
)</f>
        <v/>
      </c>
      <c r="G22" s="37" t="str">
        <f>IF(RawData!J22="","",
   IF(RawData!J22&lt;0,"Sell Into Close","Buy Into Close")
)</f>
        <v>Sell Into Close</v>
      </c>
      <c r="H22" s="37" t="b">
        <f>IF(
    RawData_Query[[#This Row],[CallWallStrike]]="",
    FALSE,
    ABS(RawData_Query[[#This Row],[CallWallStrike]] - RawData_Query[[#This Row],[Price]]) / RawData_Query[[#This Row],[Price]] &lt; 0.02
)</f>
        <v>0</v>
      </c>
      <c r="I22" s="37" t="b">
        <f>IF(
    RawData_Query[[#This Row],[PutWallStrike]]="",
    FALSE,
    ABS(RawData_Query[[#This Row],[PutWallStrike]] - RawData_Query[[#This Row],[Price]]) / RawData_Query[[#This Row],[Price]] &lt; 0.02
)</f>
        <v>0</v>
      </c>
      <c r="J22" s="37" t="str">
        <f>IF(RawData!G22="","",
   IF(RawData!G22 &lt; RawData!D22,"Below Flip","Above Flip")
)</f>
        <v>Below Flip</v>
      </c>
      <c r="K22" s="37">
        <f>IF(RawData!H22="","",
   (IF(LogicEngine!$D22="Long Gamma",10,0)) +
   (IF(RawData!K22&lt;0,10,0)) +
   (IF(AND(RawData!I22&lt;0,RawData!O22&gt;50),10,0)) +
   (IF(AND(RawData!I22&gt;0,RawData!O22&lt;50),10,0)) +
   (IF(ABS(RawData!E22 - RawData!D22)/RawData!D22 &lt; 0.02,5,0)) +
   (IF(RawData!G22&gt;RawData!D22,5,0)) +
   LogicEngine!$C22
)</f>
        <v>10</v>
      </c>
      <c r="L22" s="37">
        <f>IF(RawData!H22="","",
   (IF(LogicEngine!$D22="Short Gamma",10,0)) +
   (IF(RawData!K22&gt;0,10,0)) +
   (IF(AND(RawData!I22&gt;0,RawData!O22&gt;50),10,0)) +
   (IF(AND(RawData!I22&lt;0,RawData!O22&lt;50),10,0)) +
   (IF(ABS(RawData!F22 - RawData!D22)/RawData!D22 &lt; 0.02,5,0)) +
   (IF(RawData!G22&lt;RawData!D22,5,0)) +
   LogicEngine!$C22
)</f>
        <v>45</v>
      </c>
      <c r="M22" s="37" t="str">
        <f>IF(LogicEngine!$K22&gt;LogicEngine!$L22,"Call",
   IF(LogicEngine!$L22&gt;LogicEngine!$K22,"Put","Avoid")
)</f>
        <v>Put</v>
      </c>
      <c r="N22" s="37">
        <f>MAX(LogicEngine!$K22,LogicEngine!$L22)</f>
        <v>45</v>
      </c>
      <c r="O22" s="37" t="str">
        <f>IF(LogicEngine!$D22="","",
 "Bias: " &amp; LogicEngine!$M22 &amp;
 " | Regime: " &amp; LogicEngine!$D22 &amp;
 " | Delta: " &amp; LogicEngine!$E22 &amp;
 " | Vanna: " &amp; LogicEngine!$F22 &amp;
 " | Charm: " &amp; LogicEngine!$G22 &amp;
 " | Flip: " &amp; LogicEngine!$J22
)</f>
        <v>Bias: Put | Regime: Short Gamma | Delta: Dealers Long (Sell Rips) | Vanna:  | Charm: Sell Into Close | Flip: Below Flip</v>
      </c>
    </row>
    <row r="23" spans="1:15">
      <c r="A23" s="38" t="str">
        <f>RawData!A23</f>
        <v>NET</v>
      </c>
      <c r="B23" s="38">
        <f>RawData!B23</f>
        <v>1</v>
      </c>
      <c r="C23" s="38">
        <f t="shared" si="0"/>
        <v>10</v>
      </c>
      <c r="D23" s="38" t="str">
        <f>IF(RawData!H23="","",
   IF(RawData!H23&gt;0,"Long Gamma","Short Gamma")
)</f>
        <v>Short Gamma</v>
      </c>
      <c r="E23" s="38" t="str">
        <f>IF(RawData!K23="","",
   IF(RawData!K23&gt;0,"Dealers Long (Sell Rips)","Dealers Short (Buy Rips)")
)</f>
        <v>Dealers Long (Sell Rips)</v>
      </c>
      <c r="F23" s="38" t="str">
        <f>IF(OR(RawData!I23="",RawData!O23=""),"",
   IF(RawData!I23&gt;0,
      IF(RawData!O23&gt;50,"Downside Pressure","Upside Drift"),
      IF(RawData!O23&gt;50,"Upside Pressure","Downside Drift")
   )
)</f>
        <v>Upside Drift</v>
      </c>
      <c r="G23" s="38" t="str">
        <f>IF(RawData!J23="","",
   IF(RawData!J23&lt;0,"Sell Into Close","Buy Into Close")
)</f>
        <v>Sell Into Close</v>
      </c>
      <c r="H23" s="38" t="b">
        <f>IF(
    RawData_Query[[#This Row],[CallWallStrike]]="",
    FALSE,
    ABS(RawData_Query[[#This Row],[CallWallStrike]] - RawData_Query[[#This Row],[Price]]) / RawData_Query[[#This Row],[Price]] &lt; 0.02
)</f>
        <v>0</v>
      </c>
      <c r="I23" s="38" t="b">
        <f>IF(
    RawData_Query[[#This Row],[PutWallStrike]]="",
    FALSE,
    ABS(RawData_Query[[#This Row],[PutWallStrike]] - RawData_Query[[#This Row],[Price]]) / RawData_Query[[#This Row],[Price]] &lt; 0.02
)</f>
        <v>0</v>
      </c>
      <c r="J23" s="38" t="str">
        <f>IF(RawData!G23="","",
   IF(RawData!G23 &lt; RawData!D23,"Below Flip","Above Flip")
)</f>
        <v>Below Flip</v>
      </c>
      <c r="K23" s="38">
        <f>IF(RawData!H23="","",
   (IF(LogicEngine!$D23="Long Gamma",10,0)) +
   (IF(RawData!K23&lt;0,10,0)) +
   (IF(AND(RawData!I23&lt;0,RawData!O23&gt;50),10,0)) +
   (IF(AND(RawData!I23&gt;0,RawData!O23&lt;50),10,0)) +
   (IF(ABS(RawData!E23 - RawData!D23)/RawData!D23 &lt; 0.02,5,0)) +
   (IF(RawData!G23&gt;RawData!D23,5,0)) +
   LogicEngine!$C23
)</f>
        <v>20</v>
      </c>
      <c r="L23" s="38">
        <f>IF(RawData!H23="","",
   (IF(LogicEngine!$D23="Short Gamma",10,0)) +
   (IF(RawData!K23&gt;0,10,0)) +
   (IF(AND(RawData!I23&gt;0,RawData!O23&gt;50),10,0)) +
   (IF(AND(RawData!I23&lt;0,RawData!O23&lt;50),10,0)) +
   (IF(ABS(RawData!F23 - RawData!D23)/RawData!D23 &lt; 0.02,5,0)) +
   (IF(RawData!G23&lt;RawData!D23,5,0)) +
   LogicEngine!$C23
)</f>
        <v>35</v>
      </c>
      <c r="M23" s="38" t="str">
        <f>IF(LogicEngine!$K23&gt;LogicEngine!$L23,"Call",
   IF(LogicEngine!$L23&gt;LogicEngine!$K23,"Put","Avoid")
)</f>
        <v>Put</v>
      </c>
      <c r="N23" s="38">
        <f>MAX(LogicEngine!$K23,LogicEngine!$L23)</f>
        <v>35</v>
      </c>
      <c r="O23" s="38" t="str">
        <f>IF(LogicEngine!$D23="","",
 "Bias: " &amp; LogicEngine!$M23 &amp;
 " | Regime: " &amp; LogicEngine!$D23 &amp;
 " | Delta: " &amp; LogicEngine!$E23 &amp;
 " | Vanna: " &amp; LogicEngine!$F23 &amp;
 " | Charm: " &amp; LogicEngine!$G23 &amp;
 " | Flip: " &amp; LogicEngine!$J23
)</f>
        <v>Bias: Put | Regime: Short Gamma | Delta: Dealers Long (Sell Rips) | Vanna: Upside Drift | Charm: Sell Into Close | Flip: Below Flip</v>
      </c>
    </row>
    <row r="24" spans="1:15">
      <c r="A24" s="37" t="str">
        <f>RawData!A24</f>
        <v>CRWD</v>
      </c>
      <c r="B24" s="37">
        <f>RawData!B24</f>
        <v>1</v>
      </c>
      <c r="C24" s="37">
        <f t="shared" si="0"/>
        <v>10</v>
      </c>
      <c r="D24" s="37" t="str">
        <f>IF(RawData!H24="","",
   IF(RawData!H24&gt;0,"Long Gamma","Short Gamma")
)</f>
        <v>Long Gamma</v>
      </c>
      <c r="E24" s="37" t="str">
        <f>IF(RawData!K24="","",
   IF(RawData!K24&gt;0,"Dealers Long (Sell Rips)","Dealers Short (Buy Rips)")
)</f>
        <v>Dealers Long (Sell Rips)</v>
      </c>
      <c r="F24" s="37" t="str">
        <f>IF(OR(RawData!I24="",RawData!O24=""),"",
   IF(RawData!I24&gt;0,
      IF(RawData!O24&gt;50,"Downside Pressure","Upside Drift"),
      IF(RawData!O24&gt;50,"Upside Pressure","Downside Drift")
   )
)</f>
        <v>Downside Pressure</v>
      </c>
      <c r="G24" s="37" t="str">
        <f>IF(RawData!J24="","",
   IF(RawData!J24&lt;0,"Sell Into Close","Buy Into Close")
)</f>
        <v>Sell Into Close</v>
      </c>
      <c r="H24" s="37" t="b">
        <f>IF(
    RawData_Query[[#This Row],[CallWallStrike]]="",
    FALSE,
    ABS(RawData_Query[[#This Row],[CallWallStrike]] - RawData_Query[[#This Row],[Price]]) / RawData_Query[[#This Row],[Price]] &lt; 0.02
)</f>
        <v>0</v>
      </c>
      <c r="I24" s="37" t="b">
        <f>IF(
    RawData_Query[[#This Row],[PutWallStrike]]="",
    FALSE,
    ABS(RawData_Query[[#This Row],[PutWallStrike]] - RawData_Query[[#This Row],[Price]]) / RawData_Query[[#This Row],[Price]] &lt; 0.02
)</f>
        <v>0</v>
      </c>
      <c r="J24" s="37" t="str">
        <f>IF(RawData!G24="","",
   IF(RawData!G24 &lt; RawData!D24,"Below Flip","Above Flip")
)</f>
        <v>Below Flip</v>
      </c>
      <c r="K24" s="37">
        <f>IF(RawData!H24="","",
   (IF(LogicEngine!$D24="Long Gamma",10,0)) +
   (IF(RawData!K24&lt;0,10,0)) +
   (IF(AND(RawData!I24&lt;0,RawData!O24&gt;50),10,0)) +
   (IF(AND(RawData!I24&gt;0,RawData!O24&lt;50),10,0)) +
   (IF(ABS(RawData!E24 - RawData!D24)/RawData!D24 &lt; 0.02,5,0)) +
   (IF(RawData!G24&gt;RawData!D24,5,0)) +
   LogicEngine!$C24
)</f>
        <v>20</v>
      </c>
      <c r="L24" s="37">
        <f>IF(RawData!H24="","",
   (IF(LogicEngine!$D24="Short Gamma",10,0)) +
   (IF(RawData!K24&gt;0,10,0)) +
   (IF(AND(RawData!I24&gt;0,RawData!O24&gt;50),10,0)) +
   (IF(AND(RawData!I24&lt;0,RawData!O24&lt;50),10,0)) +
   (IF(ABS(RawData!F24 - RawData!D24)/RawData!D24 &lt; 0.02,5,0)) +
   (IF(RawData!G24&lt;RawData!D24,5,0)) +
   LogicEngine!$C24
)</f>
        <v>35</v>
      </c>
      <c r="M24" s="37" t="str">
        <f>IF(LogicEngine!$K24&gt;LogicEngine!$L24,"Call",
   IF(LogicEngine!$L24&gt;LogicEngine!$K24,"Put","Avoid")
)</f>
        <v>Put</v>
      </c>
      <c r="N24" s="37">
        <f>MAX(LogicEngine!$K24,LogicEngine!$L24)</f>
        <v>35</v>
      </c>
      <c r="O24" s="37" t="str">
        <f>IF(LogicEngine!$D24="","",
 "Bias: " &amp; LogicEngine!$M24 &amp;
 " | Regime: " &amp; LogicEngine!$D24 &amp;
 " | Delta: " &amp; LogicEngine!$E24 &amp;
 " | Vanna: " &amp; LogicEngine!$F24 &amp;
 " | Charm: " &amp; LogicEngine!$G24 &amp;
 " | Flip: " &amp; LogicEngine!$J24
)</f>
        <v>Bias: Put | Regime: Long Gamma | Delta: Dealers Long (Sell Rips) | Vanna: Downside Pressure | Charm: Sell Into Close | Flip: Below Flip</v>
      </c>
    </row>
    <row r="25" spans="1:15">
      <c r="A25" s="38" t="str">
        <f>RawData!A25</f>
        <v>CRM</v>
      </c>
      <c r="B25" s="38">
        <f>RawData!B25</f>
        <v>1</v>
      </c>
      <c r="C25" s="38">
        <f t="shared" si="0"/>
        <v>10</v>
      </c>
      <c r="D25" s="38" t="str">
        <f>IF(RawData!H25="","",
   IF(RawData!H25&gt;0,"Long Gamma","Short Gamma")
)</f>
        <v>Short Gamma</v>
      </c>
      <c r="E25" s="38" t="str">
        <f>IF(RawData!K25="","",
   IF(RawData!K25&gt;0,"Dealers Long (Sell Rips)","Dealers Short (Buy Rips)")
)</f>
        <v>Dealers Short (Buy Rips)</v>
      </c>
      <c r="F25" s="38" t="str">
        <f>IF(OR(RawData!I25="",RawData!O25=""),"",
   IF(RawData!I25&gt;0,
      IF(RawData!O25&gt;50,"Downside Pressure","Upside Drift"),
      IF(RawData!O25&gt;50,"Upside Pressure","Downside Drift")
   )
)</f>
        <v>Upside Pressure</v>
      </c>
      <c r="G25" s="38" t="str">
        <f>IF(RawData!J25="","",
   IF(RawData!J25&lt;0,"Sell Into Close","Buy Into Close")
)</f>
        <v>Sell Into Close</v>
      </c>
      <c r="H25" s="38" t="b">
        <f>IF(
    RawData_Query[[#This Row],[CallWallStrike]]="",
    FALSE,
    ABS(RawData_Query[[#This Row],[CallWallStrike]] - RawData_Query[[#This Row],[Price]]) / RawData_Query[[#This Row],[Price]] &lt; 0.02
)</f>
        <v>0</v>
      </c>
      <c r="I25" s="38" t="b">
        <f>IF(
    RawData_Query[[#This Row],[PutWallStrike]]="",
    FALSE,
    ABS(RawData_Query[[#This Row],[PutWallStrike]] - RawData_Query[[#This Row],[Price]]) / RawData_Query[[#This Row],[Price]] &lt; 0.02
)</f>
        <v>0</v>
      </c>
      <c r="J25" s="38" t="str">
        <f>IF(RawData!G25="","",
   IF(RawData!G25 &lt; RawData!D25,"Below Flip","Above Flip")
)</f>
        <v>Below Flip</v>
      </c>
      <c r="K25" s="38">
        <f>IF(RawData!H25="","",
   (IF(LogicEngine!$D25="Long Gamma",10,0)) +
   (IF(RawData!K25&lt;0,10,0)) +
   (IF(AND(RawData!I25&lt;0,RawData!O25&gt;50),10,0)) +
   (IF(AND(RawData!I25&gt;0,RawData!O25&lt;50),10,0)) +
   (IF(ABS(RawData!E25 - RawData!D25)/RawData!D25 &lt; 0.02,5,0)) +
   (IF(RawData!G25&gt;RawData!D25,5,0)) +
   LogicEngine!$C25
)</f>
        <v>30</v>
      </c>
      <c r="L25" s="38">
        <f>IF(RawData!H25="","",
   (IF(LogicEngine!$D25="Short Gamma",10,0)) +
   (IF(RawData!K25&gt;0,10,0)) +
   (IF(AND(RawData!I25&gt;0,RawData!O25&gt;50),10,0)) +
   (IF(AND(RawData!I25&lt;0,RawData!O25&lt;50),10,0)) +
   (IF(ABS(RawData!F25 - RawData!D25)/RawData!D25 &lt; 0.02,5,0)) +
   (IF(RawData!G25&lt;RawData!D25,5,0)) +
   LogicEngine!$C25
)</f>
        <v>25</v>
      </c>
      <c r="M25" s="38" t="str">
        <f>IF(LogicEngine!$K25&gt;LogicEngine!$L25,"Call",
   IF(LogicEngine!$L25&gt;LogicEngine!$K25,"Put","Avoid")
)</f>
        <v>Call</v>
      </c>
      <c r="N25" s="38">
        <f>MAX(LogicEngine!$K25,LogicEngine!$L25)</f>
        <v>30</v>
      </c>
      <c r="O25" s="38" t="str">
        <f>IF(LogicEngine!$D25="","",
 "Bias: " &amp; LogicEngine!$M25 &amp;
 " | Regime: " &amp; LogicEngine!$D25 &amp;
 " | Delta: " &amp; LogicEngine!$E25 &amp;
 " | Vanna: " &amp; LogicEngine!$F25 &amp;
 " | Charm: " &amp; LogicEngine!$G25 &amp;
 " | Flip: " &amp; LogicEngine!$J25
)</f>
        <v>Bias: Call | Regime: Short Gamma | Delta: Dealers Short (Buy Rips) | Vanna: Upside Pressure | Charm: Sell Into Close | Flip: Below Flip</v>
      </c>
    </row>
    <row r="26" spans="1:15">
      <c r="A26" s="37" t="str">
        <f>RawData!A26</f>
        <v>NOW</v>
      </c>
      <c r="B26" s="37">
        <f>RawData!B26</f>
        <v>1</v>
      </c>
      <c r="C26" s="37">
        <f t="shared" si="0"/>
        <v>10</v>
      </c>
      <c r="D26" s="37" t="str">
        <f>IF(RawData!H26="","",
   IF(RawData!H26&gt;0,"Long Gamma","Short Gamma")
)</f>
        <v>Long Gamma</v>
      </c>
      <c r="E26" s="37" t="str">
        <f>IF(RawData!K26="","",
   IF(RawData!K26&gt;0,"Dealers Long (Sell Rips)","Dealers Short (Buy Rips)")
)</f>
        <v>Dealers Long (Sell Rips)</v>
      </c>
      <c r="F26" s="37" t="str">
        <f>IF(OR(RawData!I26="",RawData!O26=""),"",
   IF(RawData!I26&gt;0,
      IF(RawData!O26&gt;50,"Downside Pressure","Upside Drift"),
      IF(RawData!O26&gt;50,"Upside Pressure","Downside Drift")
   )
)</f>
        <v>Downside Pressure</v>
      </c>
      <c r="G26" s="37" t="str">
        <f>IF(RawData!J26="","",
   IF(RawData!J26&lt;0,"Sell Into Close","Buy Into Close")
)</f>
        <v>Sell Into Close</v>
      </c>
      <c r="H26" s="37" t="b">
        <f>IF(
    RawData_Query[[#This Row],[CallWallStrike]]="",
    FALSE,
    ABS(RawData_Query[[#This Row],[CallWallStrike]] - RawData_Query[[#This Row],[Price]]) / RawData_Query[[#This Row],[Price]] &lt; 0.02
)</f>
        <v>1</v>
      </c>
      <c r="I26" s="37" t="b">
        <f>IF(
    RawData_Query[[#This Row],[PutWallStrike]]="",
    FALSE,
    ABS(RawData_Query[[#This Row],[PutWallStrike]] - RawData_Query[[#This Row],[Price]]) / RawData_Query[[#This Row],[Price]] &lt; 0.02
)</f>
        <v>0</v>
      </c>
      <c r="J26" s="37" t="str">
        <f>IF(RawData!G26="","",
   IF(RawData!G26 &lt; RawData!D26,"Below Flip","Above Flip")
)</f>
        <v>Below Flip</v>
      </c>
      <c r="K26" s="37">
        <f>IF(RawData!H26="","",
   (IF(LogicEngine!$D26="Long Gamma",10,0)) +
   (IF(RawData!K26&lt;0,10,0)) +
   (IF(AND(RawData!I26&lt;0,RawData!O26&gt;50),10,0)) +
   (IF(AND(RawData!I26&gt;0,RawData!O26&lt;50),10,0)) +
   (IF(ABS(RawData!E26 - RawData!D26)/RawData!D26 &lt; 0.02,5,0)) +
   (IF(RawData!G26&gt;RawData!D26,5,0)) +
   LogicEngine!$C26
)</f>
        <v>25</v>
      </c>
      <c r="L26" s="37">
        <f>IF(RawData!H26="","",
   (IF(LogicEngine!$D26="Short Gamma",10,0)) +
   (IF(RawData!K26&gt;0,10,0)) +
   (IF(AND(RawData!I26&gt;0,RawData!O26&gt;50),10,0)) +
   (IF(AND(RawData!I26&lt;0,RawData!O26&lt;50),10,0)) +
   (IF(ABS(RawData!F26 - RawData!D26)/RawData!D26 &lt; 0.02,5,0)) +
   (IF(RawData!G26&lt;RawData!D26,5,0)) +
   LogicEngine!$C26
)</f>
        <v>35</v>
      </c>
      <c r="M26" s="37" t="str">
        <f>IF(LogicEngine!$K26&gt;LogicEngine!$L26,"Call",
   IF(LogicEngine!$L26&gt;LogicEngine!$K26,"Put","Avoid")
)</f>
        <v>Put</v>
      </c>
      <c r="N26" s="37">
        <f>MAX(LogicEngine!$K26,LogicEngine!$L26)</f>
        <v>35</v>
      </c>
      <c r="O26" s="37" t="str">
        <f>IF(LogicEngine!$D26="","",
 "Bias: " &amp; LogicEngine!$M26 &amp;
 " | Regime: " &amp; LogicEngine!$D26 &amp;
 " | Delta: " &amp; LogicEngine!$E26 &amp;
 " | Vanna: " &amp; LogicEngine!$F26 &amp;
 " | Charm: " &amp; LogicEngine!$G26 &amp;
 " | Flip: " &amp; LogicEngine!$J26
)</f>
        <v>Bias: Put | Regime: Long Gamma | Delta: Dealers Long (Sell Rips) | Vanna: Downside Pressure | Charm: Sell Into Close | Flip: Below Flip</v>
      </c>
    </row>
    <row r="27" spans="1:15">
      <c r="A27" s="38" t="str">
        <f>RawData!A27</f>
        <v>ADBE</v>
      </c>
      <c r="B27" s="38">
        <f>RawData!B27</f>
        <v>1</v>
      </c>
      <c r="C27" s="38">
        <f t="shared" si="0"/>
        <v>10</v>
      </c>
      <c r="D27" s="38" t="str">
        <f>IF(RawData!H27="","",
   IF(RawData!H27&gt;0,"Long Gamma","Short Gamma")
)</f>
        <v>Short Gamma</v>
      </c>
      <c r="E27" s="38" t="str">
        <f>IF(RawData!K27="","",
   IF(RawData!K27&gt;0,"Dealers Long (Sell Rips)","Dealers Short (Buy Rips)")
)</f>
        <v>Dealers Short (Buy Rips)</v>
      </c>
      <c r="F27" s="38" t="str">
        <f>IF(OR(RawData!I27="",RawData!O27=""),"",
   IF(RawData!I27&gt;0,
      IF(RawData!O27&gt;50,"Downside Pressure","Upside Drift"),
      IF(RawData!O27&gt;50,"Upside Pressure","Downside Drift")
   )
)</f>
        <v>Downside Pressure</v>
      </c>
      <c r="G27" s="38" t="str">
        <f>IF(RawData!J27="","",
   IF(RawData!J27&lt;0,"Sell Into Close","Buy Into Close")
)</f>
        <v>Sell Into Close</v>
      </c>
      <c r="H27" s="38" t="b">
        <f>IF(
    RawData_Query[[#This Row],[CallWallStrike]]="",
    FALSE,
    ABS(RawData_Query[[#This Row],[CallWallStrike]] - RawData_Query[[#This Row],[Price]]) / RawData_Query[[#This Row],[Price]] &lt; 0.02
)</f>
        <v>0</v>
      </c>
      <c r="I27" s="38" t="b">
        <f>IF(
    RawData_Query[[#This Row],[PutWallStrike]]="",
    FALSE,
    ABS(RawData_Query[[#This Row],[PutWallStrike]] - RawData_Query[[#This Row],[Price]]) / RawData_Query[[#This Row],[Price]] &lt; 0.02
)</f>
        <v>0</v>
      </c>
      <c r="J27" s="38" t="str">
        <f>IF(RawData!G27="","",
   IF(RawData!G27 &lt; RawData!D27,"Below Flip","Above Flip")
)</f>
        <v>Below Flip</v>
      </c>
      <c r="K27" s="38">
        <f>IF(RawData!H27="","",
   (IF(LogicEngine!$D27="Long Gamma",10,0)) +
   (IF(RawData!K27&lt;0,10,0)) +
   (IF(AND(RawData!I27&lt;0,RawData!O27&gt;50),10,0)) +
   (IF(AND(RawData!I27&gt;0,RawData!O27&lt;50),10,0)) +
   (IF(ABS(RawData!E27 - RawData!D27)/RawData!D27 &lt; 0.02,5,0)) +
   (IF(RawData!G27&gt;RawData!D27,5,0)) +
   LogicEngine!$C27
)</f>
        <v>20</v>
      </c>
      <c r="L27" s="38">
        <f>IF(RawData!H27="","",
   (IF(LogicEngine!$D27="Short Gamma",10,0)) +
   (IF(RawData!K27&gt;0,10,0)) +
   (IF(AND(RawData!I27&gt;0,RawData!O27&gt;50),10,0)) +
   (IF(AND(RawData!I27&lt;0,RawData!O27&lt;50),10,0)) +
   (IF(ABS(RawData!F27 - RawData!D27)/RawData!D27 &lt; 0.02,5,0)) +
   (IF(RawData!G27&lt;RawData!D27,5,0)) +
   LogicEngine!$C27
)</f>
        <v>35</v>
      </c>
      <c r="M27" s="38" t="str">
        <f>IF(LogicEngine!$K27&gt;LogicEngine!$L27,"Call",
   IF(LogicEngine!$L27&gt;LogicEngine!$K27,"Put","Avoid")
)</f>
        <v>Put</v>
      </c>
      <c r="N27" s="38">
        <f>MAX(LogicEngine!$K27,LogicEngine!$L27)</f>
        <v>35</v>
      </c>
      <c r="O27" s="38" t="str">
        <f>IF(LogicEngine!$D27="","",
 "Bias: " &amp; LogicEngine!$M27 &amp;
 " | Regime: " &amp; LogicEngine!$D27 &amp;
 " | Delta: " &amp; LogicEngine!$E27 &amp;
 " | Vanna: " &amp; LogicEngine!$F27 &amp;
 " | Charm: " &amp; LogicEngine!$G27 &amp;
 " | Flip: " &amp; LogicEngine!$J27
)</f>
        <v>Bias: Put | Regime: Short Gamma | Delta: Dealers Short (Buy Rips) | Vanna: Downside Pressure | Charm: Sell Into Close | Flip: Below Flip</v>
      </c>
    </row>
    <row r="28" spans="1:15">
      <c r="A28" s="37" t="str">
        <f>RawData!A28</f>
        <v>AAOI</v>
      </c>
      <c r="B28" s="37">
        <f>RawData!B28</f>
        <v>3</v>
      </c>
      <c r="C28" s="37">
        <f t="shared" si="0"/>
        <v>0</v>
      </c>
      <c r="D28" s="37" t="str">
        <f>IF(RawData!H28="","",
   IF(RawData!H28&gt;0,"Long Gamma","Short Gamma")
)</f>
        <v>Long Gamma</v>
      </c>
      <c r="E28" s="37" t="str">
        <f>IF(RawData!K28="","",
   IF(RawData!K28&gt;0,"Dealers Long (Sell Rips)","Dealers Short (Buy Rips)")
)</f>
        <v>Dealers Long (Sell Rips)</v>
      </c>
      <c r="F28" s="37" t="str">
        <f>IF(OR(RawData!I28="",RawData!O28=""),"",
   IF(RawData!I28&gt;0,
      IF(RawData!O28&gt;50,"Downside Pressure","Upside Drift"),
      IF(RawData!O28&gt;50,"Upside Pressure","Downside Drift")
   )
)</f>
        <v>Downside Pressure</v>
      </c>
      <c r="G28" s="37" t="str">
        <f>IF(RawData!J28="","",
   IF(RawData!J28&lt;0,"Sell Into Close","Buy Into Close")
)</f>
        <v>Sell Into Close</v>
      </c>
      <c r="H28" s="37" t="b">
        <f>IF(
    RawData_Query[[#This Row],[CallWallStrike]]="",
    FALSE,
    ABS(RawData_Query[[#This Row],[CallWallStrike]] - RawData_Query[[#This Row],[Price]]) / RawData_Query[[#This Row],[Price]] &lt; 0.02
)</f>
        <v>0</v>
      </c>
      <c r="I28" s="37" t="b">
        <f>IF(
    RawData_Query[[#This Row],[PutWallStrike]]="",
    FALSE,
    ABS(RawData_Query[[#This Row],[PutWallStrike]] - RawData_Query[[#This Row],[Price]]) / RawData_Query[[#This Row],[Price]] &lt; 0.02
)</f>
        <v>0</v>
      </c>
      <c r="J28" s="37" t="str">
        <f>IF(RawData!G28="","",
   IF(RawData!G28 &lt; RawData!D28,"Below Flip","Above Flip")
)</f>
        <v>Below Flip</v>
      </c>
      <c r="K28" s="37">
        <f>IF(RawData!H28="","",
   (IF(LogicEngine!$D28="Long Gamma",10,0)) +
   (IF(RawData!K28&lt;0,10,0)) +
   (IF(AND(RawData!I28&lt;0,RawData!O28&gt;50),10,0)) +
   (IF(AND(RawData!I28&gt;0,RawData!O28&lt;50),10,0)) +
   (IF(ABS(RawData!E28 - RawData!D28)/RawData!D28 &lt; 0.02,5,0)) +
   (IF(RawData!G28&gt;RawData!D28,5,0)) +
   LogicEngine!$C28
)</f>
        <v>10</v>
      </c>
      <c r="L28" s="37">
        <f>IF(RawData!H28="","",
   (IF(LogicEngine!$D28="Short Gamma",10,0)) +
   (IF(RawData!K28&gt;0,10,0)) +
   (IF(AND(RawData!I28&gt;0,RawData!O28&gt;50),10,0)) +
   (IF(AND(RawData!I28&lt;0,RawData!O28&lt;50),10,0)) +
   (IF(ABS(RawData!F28 - RawData!D28)/RawData!D28 &lt; 0.02,5,0)) +
   (IF(RawData!G28&lt;RawData!D28,5,0)) +
   LogicEngine!$C28
)</f>
        <v>25</v>
      </c>
      <c r="M28" s="37" t="str">
        <f>IF(LogicEngine!$K28&gt;LogicEngine!$L28,"Call",
   IF(LogicEngine!$L28&gt;LogicEngine!$K28,"Put","Avoid")
)</f>
        <v>Put</v>
      </c>
      <c r="N28" s="37">
        <f>MAX(LogicEngine!$K28,LogicEngine!$L28)</f>
        <v>25</v>
      </c>
      <c r="O28" s="37" t="str">
        <f>IF(LogicEngine!$D28="","",
 "Bias: " &amp; LogicEngine!$M28 &amp;
 " | Regime: " &amp; LogicEngine!$D28 &amp;
 " | Delta: " &amp; LogicEngine!$E28 &amp;
 " | Vanna: " &amp; LogicEngine!$F28 &amp;
 " | Charm: " &amp; LogicEngine!$G28 &amp;
 " | Flip: " &amp; LogicEngine!$J28
)</f>
        <v>Bias: Put | Regime: Long Gamma | Delta: Dealers Long (Sell Rips) | Vanna: Downside Pressure | Charm: Sell Into Close | Flip: Below Flip</v>
      </c>
    </row>
    <row r="29" spans="1:15">
      <c r="A29" s="38" t="str">
        <f>RawData!A29</f>
        <v>QCOM</v>
      </c>
      <c r="B29" s="38">
        <f>RawData!B29</f>
        <v>1</v>
      </c>
      <c r="C29" s="38">
        <f t="shared" si="0"/>
        <v>10</v>
      </c>
      <c r="D29" s="38" t="str">
        <f>IF(RawData!H29="","",
   IF(RawData!H29&gt;0,"Long Gamma","Short Gamma")
)</f>
        <v>Short Gamma</v>
      </c>
      <c r="E29" s="38" t="str">
        <f>IF(RawData!K29="","",
   IF(RawData!K29&gt;0,"Dealers Long (Sell Rips)","Dealers Short (Buy Rips)")
)</f>
        <v>Dealers Long (Sell Rips)</v>
      </c>
      <c r="F29" s="38" t="str">
        <f>IF(OR(RawData!I29="",RawData!O29=""),"",
   IF(RawData!I29&gt;0,
      IF(RawData!O29&gt;50,"Downside Pressure","Upside Drift"),
      IF(RawData!O29&gt;50,"Upside Pressure","Downside Drift")
   )
)</f>
        <v>Upside Pressure</v>
      </c>
      <c r="G29" s="38" t="str">
        <f>IF(RawData!J29="","",
   IF(RawData!J29&lt;0,"Sell Into Close","Buy Into Close")
)</f>
        <v>Sell Into Close</v>
      </c>
      <c r="H29" s="38" t="b">
        <f>IF(
    RawData_Query[[#This Row],[CallWallStrike]]="",
    FALSE,
    ABS(RawData_Query[[#This Row],[CallWallStrike]] - RawData_Query[[#This Row],[Price]]) / RawData_Query[[#This Row],[Price]] &lt; 0.02
)</f>
        <v>1</v>
      </c>
      <c r="I29" s="38" t="b">
        <f>IF(
    RawData_Query[[#This Row],[PutWallStrike]]="",
    FALSE,
    ABS(RawData_Query[[#This Row],[PutWallStrike]] - RawData_Query[[#This Row],[Price]]) / RawData_Query[[#This Row],[Price]] &lt; 0.02
)</f>
        <v>0</v>
      </c>
      <c r="J29" s="38" t="str">
        <f>IF(RawData!G29="","",
   IF(RawData!G29 &lt; RawData!D29,"Below Flip","Above Flip")
)</f>
        <v>Below Flip</v>
      </c>
      <c r="K29" s="38">
        <f>IF(RawData!H29="","",
   (IF(LogicEngine!$D29="Long Gamma",10,0)) +
   (IF(RawData!K29&lt;0,10,0)) +
   (IF(AND(RawData!I29&lt;0,RawData!O29&gt;50),10,0)) +
   (IF(AND(RawData!I29&gt;0,RawData!O29&lt;50),10,0)) +
   (IF(ABS(RawData!E29 - RawData!D29)/RawData!D29 &lt; 0.02,5,0)) +
   (IF(RawData!G29&gt;RawData!D29,5,0)) +
   LogicEngine!$C29
)</f>
        <v>25</v>
      </c>
      <c r="L29" s="38">
        <f>IF(RawData!H29="","",
   (IF(LogicEngine!$D29="Short Gamma",10,0)) +
   (IF(RawData!K29&gt;0,10,0)) +
   (IF(AND(RawData!I29&gt;0,RawData!O29&gt;50),10,0)) +
   (IF(AND(RawData!I29&lt;0,RawData!O29&lt;50),10,0)) +
   (IF(ABS(RawData!F29 - RawData!D29)/RawData!D29 &lt; 0.02,5,0)) +
   (IF(RawData!G29&lt;RawData!D29,5,0)) +
   LogicEngine!$C29
)</f>
        <v>35</v>
      </c>
      <c r="M29" s="38" t="str">
        <f>IF(LogicEngine!$K29&gt;LogicEngine!$L29,"Call",
   IF(LogicEngine!$L29&gt;LogicEngine!$K29,"Put","Avoid")
)</f>
        <v>Put</v>
      </c>
      <c r="N29" s="38">
        <f>MAX(LogicEngine!$K29,LogicEngine!$L29)</f>
        <v>35</v>
      </c>
      <c r="O29" s="38" t="str">
        <f>IF(LogicEngine!$D29="","",
 "Bias: " &amp; LogicEngine!$M29 &amp;
 " | Regime: " &amp; LogicEngine!$D29 &amp;
 " | Delta: " &amp; LogicEngine!$E29 &amp;
 " | Vanna: " &amp; LogicEngine!$F29 &amp;
 " | Charm: " &amp; LogicEngine!$G29 &amp;
 " | Flip: " &amp; LogicEngine!$J29
)</f>
        <v>Bias: Put | Regime: Short Gamma | Delta: Dealers Long (Sell Rips) | Vanna: Upside Pressure | Charm: Sell Into Close | Flip: Below Flip</v>
      </c>
    </row>
    <row r="30" spans="1:15">
      <c r="A30" s="37" t="str">
        <f>RawData!A30</f>
        <v>MU</v>
      </c>
      <c r="B30" s="37">
        <f>RawData!B30</f>
        <v>1</v>
      </c>
      <c r="C30" s="37">
        <f t="shared" si="0"/>
        <v>10</v>
      </c>
      <c r="D30" s="37" t="str">
        <f>IF(RawData!H30="","",
   IF(RawData!H30&gt;0,"Long Gamma","Short Gamma")
)</f>
        <v>Short Gamma</v>
      </c>
      <c r="E30" s="37" t="str">
        <f>IF(RawData!K30="","",
   IF(RawData!K30&gt;0,"Dealers Long (Sell Rips)","Dealers Short (Buy Rips)")
)</f>
        <v>Dealers Long (Sell Rips)</v>
      </c>
      <c r="F30" s="37" t="str">
        <f>IF(OR(RawData!I30="",RawData!O30=""),"",
   IF(RawData!I30&gt;0,
      IF(RawData!O30&gt;50,"Downside Pressure","Upside Drift"),
      IF(RawData!O30&gt;50,"Upside Pressure","Downside Drift")
   )
)</f>
        <v>Upside Pressure</v>
      </c>
      <c r="G30" s="37" t="str">
        <f>IF(RawData!J30="","",
   IF(RawData!J30&lt;0,"Sell Into Close","Buy Into Close")
)</f>
        <v>Buy Into Close</v>
      </c>
      <c r="H30" s="37" t="b">
        <f>IF(
    RawData_Query[[#This Row],[CallWallStrike]]="",
    FALSE,
    ABS(RawData_Query[[#This Row],[CallWallStrike]] - RawData_Query[[#This Row],[Price]]) / RawData_Query[[#This Row],[Price]] &lt; 0.02
)</f>
        <v>0</v>
      </c>
      <c r="I30" s="37" t="b">
        <f>IF(
    RawData_Query[[#This Row],[PutWallStrike]]="",
    FALSE,
    ABS(RawData_Query[[#This Row],[PutWallStrike]] - RawData_Query[[#This Row],[Price]]) / RawData_Query[[#This Row],[Price]] &lt; 0.02
)</f>
        <v>0</v>
      </c>
      <c r="J30" s="37" t="str">
        <f>IF(RawData!G30="","",
   IF(RawData!G30 &lt; RawData!D30,"Below Flip","Above Flip")
)</f>
        <v>Below Flip</v>
      </c>
      <c r="K30" s="37">
        <f>IF(RawData!H30="","",
   (IF(LogicEngine!$D30="Long Gamma",10,0)) +
   (IF(RawData!K30&lt;0,10,0)) +
   (IF(AND(RawData!I30&lt;0,RawData!O30&gt;50),10,0)) +
   (IF(AND(RawData!I30&gt;0,RawData!O30&lt;50),10,0)) +
   (IF(ABS(RawData!E30 - RawData!D30)/RawData!D30 &lt; 0.02,5,0)) +
   (IF(RawData!G30&gt;RawData!D30,5,0)) +
   LogicEngine!$C30
)</f>
        <v>20</v>
      </c>
      <c r="L30" s="37">
        <f>IF(RawData!H30="","",
   (IF(LogicEngine!$D30="Short Gamma",10,0)) +
   (IF(RawData!K30&gt;0,10,0)) +
   (IF(AND(RawData!I30&gt;0,RawData!O30&gt;50),10,0)) +
   (IF(AND(RawData!I30&lt;0,RawData!O30&lt;50),10,0)) +
   (IF(ABS(RawData!F30 - RawData!D30)/RawData!D30 &lt; 0.02,5,0)) +
   (IF(RawData!G30&lt;RawData!D30,5,0)) +
   LogicEngine!$C30
)</f>
        <v>35</v>
      </c>
      <c r="M30" s="37" t="str">
        <f>IF(LogicEngine!$K30&gt;LogicEngine!$L30,"Call",
   IF(LogicEngine!$L30&gt;LogicEngine!$K30,"Put","Avoid")
)</f>
        <v>Put</v>
      </c>
      <c r="N30" s="37">
        <f>MAX(LogicEngine!$K30,LogicEngine!$L30)</f>
        <v>35</v>
      </c>
      <c r="O30" s="37" t="str">
        <f>IF(LogicEngine!$D30="","",
 "Bias: " &amp; LogicEngine!$M30 &amp;
 " | Regime: " &amp; LogicEngine!$D30 &amp;
 " | Delta: " &amp; LogicEngine!$E30 &amp;
 " | Vanna: " &amp; LogicEngine!$F30 &amp;
 " | Charm: " &amp; LogicEngine!$G30 &amp;
 " | Flip: " &amp; LogicEngine!$J30
)</f>
        <v>Bias: Put | Regime: Short Gamma | Delta: Dealers Long (Sell Rips) | Vanna: Upside Pressure | Charm: Buy Into Close | Flip: Below Flip</v>
      </c>
    </row>
    <row r="31" spans="1:15">
      <c r="A31" s="38" t="str">
        <f>RawData!A31</f>
        <v>TSM</v>
      </c>
      <c r="B31" s="38">
        <f>RawData!B31</f>
        <v>1</v>
      </c>
      <c r="C31" s="38">
        <f t="shared" si="0"/>
        <v>10</v>
      </c>
      <c r="D31" s="38" t="str">
        <f>IF(RawData!H31="","",
   IF(RawData!H31&gt;0,"Long Gamma","Short Gamma")
)</f>
        <v>Short Gamma</v>
      </c>
      <c r="E31" s="38" t="str">
        <f>IF(RawData!K31="","",
   IF(RawData!K31&gt;0,"Dealers Long (Sell Rips)","Dealers Short (Buy Rips)")
)</f>
        <v>Dealers Long (Sell Rips)</v>
      </c>
      <c r="F31" s="38" t="str">
        <f>IF(OR(RawData!I31="",RawData!O31=""),"",
   IF(RawData!I31&gt;0,
      IF(RawData!O31&gt;50,"Downside Pressure","Upside Drift"),
      IF(RawData!O31&gt;50,"Upside Pressure","Downside Drift")
   )
)</f>
        <v>Downside Pressure</v>
      </c>
      <c r="G31" s="38" t="str">
        <f>IF(RawData!J31="","",
   IF(RawData!J31&lt;0,"Sell Into Close","Buy Into Close")
)</f>
        <v>Sell Into Close</v>
      </c>
      <c r="H31" s="38" t="b">
        <f>IF(
    RawData_Query[[#This Row],[CallWallStrike]]="",
    FALSE,
    ABS(RawData_Query[[#This Row],[CallWallStrike]] - RawData_Query[[#This Row],[Price]]) / RawData_Query[[#This Row],[Price]] &lt; 0.02
)</f>
        <v>0</v>
      </c>
      <c r="I31" s="38" t="b">
        <f>IF(
    RawData_Query[[#This Row],[PutWallStrike]]="",
    FALSE,
    ABS(RawData_Query[[#This Row],[PutWallStrike]] - RawData_Query[[#This Row],[Price]]) / RawData_Query[[#This Row],[Price]] &lt; 0.02
)</f>
        <v>0</v>
      </c>
      <c r="J31" s="38" t="str">
        <f>IF(RawData!G31="","",
   IF(RawData!G31 &lt; RawData!D31,"Below Flip","Above Flip")
)</f>
        <v>Below Flip</v>
      </c>
      <c r="K31" s="38">
        <f>IF(RawData!H31="","",
   (IF(LogicEngine!$D31="Long Gamma",10,0)) +
   (IF(RawData!K31&lt;0,10,0)) +
   (IF(AND(RawData!I31&lt;0,RawData!O31&gt;50),10,0)) +
   (IF(AND(RawData!I31&gt;0,RawData!O31&lt;50),10,0)) +
   (IF(ABS(RawData!E31 - RawData!D31)/RawData!D31 &lt; 0.02,5,0)) +
   (IF(RawData!G31&gt;RawData!D31,5,0)) +
   LogicEngine!$C31
)</f>
        <v>10</v>
      </c>
      <c r="L31" s="38">
        <f>IF(RawData!H31="","",
   (IF(LogicEngine!$D31="Short Gamma",10,0)) +
   (IF(RawData!K31&gt;0,10,0)) +
   (IF(AND(RawData!I31&gt;0,RawData!O31&gt;50),10,0)) +
   (IF(AND(RawData!I31&lt;0,RawData!O31&lt;50),10,0)) +
   (IF(ABS(RawData!F31 - RawData!D31)/RawData!D31 &lt; 0.02,5,0)) +
   (IF(RawData!G31&lt;RawData!D31,5,0)) +
   LogicEngine!$C31
)</f>
        <v>45</v>
      </c>
      <c r="M31" s="38" t="str">
        <f>IF(LogicEngine!$K31&gt;LogicEngine!$L31,"Call",
   IF(LogicEngine!$L31&gt;LogicEngine!$K31,"Put","Avoid")
)</f>
        <v>Put</v>
      </c>
      <c r="N31" s="38">
        <f>MAX(LogicEngine!$K31,LogicEngine!$L31)</f>
        <v>45</v>
      </c>
      <c r="O31" s="38" t="str">
        <f>IF(LogicEngine!$D31="","",
 "Bias: " &amp; LogicEngine!$M31 &amp;
 " | Regime: " &amp; LogicEngine!$D31 &amp;
 " | Delta: " &amp; LogicEngine!$E31 &amp;
 " | Vanna: " &amp; LogicEngine!$F31 &amp;
 " | Charm: " &amp; LogicEngine!$G31 &amp;
 " | Flip: " &amp; LogicEngine!$J31
)</f>
        <v>Bias: Put | Regime: Short Gamma | Delta: Dealers Long (Sell Rips) | Vanna: Downside Pressure | Charm: Sell Into Close | Flip: Below Flip</v>
      </c>
    </row>
    <row r="32" spans="1:15">
      <c r="A32" s="37" t="str">
        <f>RawData!A32</f>
        <v>AMAT</v>
      </c>
      <c r="B32" s="37">
        <f>RawData!B32</f>
        <v>2</v>
      </c>
      <c r="C32" s="37">
        <f t="shared" si="0"/>
        <v>5</v>
      </c>
      <c r="D32" s="37" t="str">
        <f>IF(RawData!H32="","",
   IF(RawData!H32&gt;0,"Long Gamma","Short Gamma")
)</f>
        <v>Long Gamma</v>
      </c>
      <c r="E32" s="37" t="str">
        <f>IF(RawData!K32="","",
   IF(RawData!K32&gt;0,"Dealers Long (Sell Rips)","Dealers Short (Buy Rips)")
)</f>
        <v>Dealers Long (Sell Rips)</v>
      </c>
      <c r="F32" s="37" t="str">
        <f>IF(OR(RawData!I32="",RawData!O32=""),"",
   IF(RawData!I32&gt;0,
      IF(RawData!O32&gt;50,"Downside Pressure","Upside Drift"),
      IF(RawData!O32&gt;50,"Upside Pressure","Downside Drift")
   )
)</f>
        <v>Downside Pressure</v>
      </c>
      <c r="G32" s="37" t="str">
        <f>IF(RawData!J32="","",
   IF(RawData!J32&lt;0,"Sell Into Close","Buy Into Close")
)</f>
        <v>Sell Into Close</v>
      </c>
      <c r="H32" s="37" t="b">
        <f>IF(
    RawData_Query[[#This Row],[CallWallStrike]]="",
    FALSE,
    ABS(RawData_Query[[#This Row],[CallWallStrike]] - RawData_Query[[#This Row],[Price]]) / RawData_Query[[#This Row],[Price]] &lt; 0.02
)</f>
        <v>0</v>
      </c>
      <c r="I32" s="37" t="b">
        <f>IF(
    RawData_Query[[#This Row],[PutWallStrike]]="",
    FALSE,
    ABS(RawData_Query[[#This Row],[PutWallStrike]] - RawData_Query[[#This Row],[Price]]) / RawData_Query[[#This Row],[Price]] &lt; 0.02
)</f>
        <v>0</v>
      </c>
      <c r="J32" s="37" t="str">
        <f>IF(RawData!G32="","",
   IF(RawData!G32 &lt; RawData!D32,"Below Flip","Above Flip")
)</f>
        <v>Below Flip</v>
      </c>
      <c r="K32" s="37">
        <f>IF(RawData!H32="","",
   (IF(LogicEngine!$D32="Long Gamma",10,0)) +
   (IF(RawData!K32&lt;0,10,0)) +
   (IF(AND(RawData!I32&lt;0,RawData!O32&gt;50),10,0)) +
   (IF(AND(RawData!I32&gt;0,RawData!O32&lt;50),10,0)) +
   (IF(ABS(RawData!E32 - RawData!D32)/RawData!D32 &lt; 0.02,5,0)) +
   (IF(RawData!G32&gt;RawData!D32,5,0)) +
   LogicEngine!$C32
)</f>
        <v>15</v>
      </c>
      <c r="L32" s="37">
        <f>IF(RawData!H32="","",
   (IF(LogicEngine!$D32="Short Gamma",10,0)) +
   (IF(RawData!K32&gt;0,10,0)) +
   (IF(AND(RawData!I32&gt;0,RawData!O32&gt;50),10,0)) +
   (IF(AND(RawData!I32&lt;0,RawData!O32&lt;50),10,0)) +
   (IF(ABS(RawData!F32 - RawData!D32)/RawData!D32 &lt; 0.02,5,0)) +
   (IF(RawData!G32&lt;RawData!D32,5,0)) +
   LogicEngine!$C32
)</f>
        <v>30</v>
      </c>
      <c r="M32" s="37" t="str">
        <f>IF(LogicEngine!$K32&gt;LogicEngine!$L32,"Call",
   IF(LogicEngine!$L32&gt;LogicEngine!$K32,"Put","Avoid")
)</f>
        <v>Put</v>
      </c>
      <c r="N32" s="37">
        <f>MAX(LogicEngine!$K32,LogicEngine!$L32)</f>
        <v>30</v>
      </c>
      <c r="O32" s="37" t="str">
        <f>IF(LogicEngine!$D32="","",
 "Bias: " &amp; LogicEngine!$M32 &amp;
 " | Regime: " &amp; LogicEngine!$D32 &amp;
 " | Delta: " &amp; LogicEngine!$E32 &amp;
 " | Vanna: " &amp; LogicEngine!$F32 &amp;
 " | Charm: " &amp; LogicEngine!$G32 &amp;
 " | Flip: " &amp; LogicEngine!$J32
)</f>
        <v>Bias: Put | Regime: Long Gamma | Delta: Dealers Long (Sell Rips) | Vanna: Downside Pressure | Charm: Sell Into Close | Flip: Below Flip</v>
      </c>
    </row>
    <row r="33" spans="1:15">
      <c r="A33" s="38" t="str">
        <f>RawData!A33</f>
        <v>AMD</v>
      </c>
      <c r="B33" s="38">
        <f>RawData!B33</f>
        <v>1</v>
      </c>
      <c r="C33" s="38">
        <f t="shared" si="0"/>
        <v>10</v>
      </c>
      <c r="D33" s="38" t="str">
        <f>IF(RawData!H33="","",
   IF(RawData!H33&gt;0,"Long Gamma","Short Gamma")
)</f>
        <v>Long Gamma</v>
      </c>
      <c r="E33" s="38" t="str">
        <f>IF(RawData!K33="","",
   IF(RawData!K33&gt;0,"Dealers Long (Sell Rips)","Dealers Short (Buy Rips)")
)</f>
        <v>Dealers Long (Sell Rips)</v>
      </c>
      <c r="F33" s="38" t="str">
        <f>IF(OR(RawData!I33="",RawData!O33=""),"",
   IF(RawData!I33&gt;0,
      IF(RawData!O33&gt;50,"Downside Pressure","Upside Drift"),
      IF(RawData!O33&gt;50,"Upside Pressure","Downside Drift")
   )
)</f>
        <v>Downside Pressure</v>
      </c>
      <c r="G33" s="38" t="str">
        <f>IF(RawData!J33="","",
   IF(RawData!J33&lt;0,"Sell Into Close","Buy Into Close")
)</f>
        <v>Sell Into Close</v>
      </c>
      <c r="H33" s="38" t="b">
        <f>IF(
    RawData_Query[[#This Row],[CallWallStrike]]="",
    FALSE,
    ABS(RawData_Query[[#This Row],[CallWallStrike]] - RawData_Query[[#This Row],[Price]]) / RawData_Query[[#This Row],[Price]] &lt; 0.02
)</f>
        <v>0</v>
      </c>
      <c r="I33" s="38" t="b">
        <f>IF(
    RawData_Query[[#This Row],[PutWallStrike]]="",
    FALSE,
    ABS(RawData_Query[[#This Row],[PutWallStrike]] - RawData_Query[[#This Row],[Price]]) / RawData_Query[[#This Row],[Price]] &lt; 0.02
)</f>
        <v>0</v>
      </c>
      <c r="J33" s="38" t="str">
        <f>IF(RawData!G33="","",
   IF(RawData!G33 &lt; RawData!D33,"Below Flip","Above Flip")
)</f>
        <v>Above Flip</v>
      </c>
      <c r="K33" s="38">
        <f>IF(RawData!H33="","",
   (IF(LogicEngine!$D33="Long Gamma",10,0)) +
   (IF(RawData!K33&lt;0,10,0)) +
   (IF(AND(RawData!I33&lt;0,RawData!O33&gt;50),10,0)) +
   (IF(AND(RawData!I33&gt;0,RawData!O33&lt;50),10,0)) +
   (IF(ABS(RawData!E33 - RawData!D33)/RawData!D33 &lt; 0.02,5,0)) +
   (IF(RawData!G33&gt;RawData!D33,5,0)) +
   LogicEngine!$C33
)</f>
        <v>25</v>
      </c>
      <c r="L33" s="38">
        <f>IF(RawData!H33="","",
   (IF(LogicEngine!$D33="Short Gamma",10,0)) +
   (IF(RawData!K33&gt;0,10,0)) +
   (IF(AND(RawData!I33&gt;0,RawData!O33&gt;50),10,0)) +
   (IF(AND(RawData!I33&lt;0,RawData!O33&lt;50),10,0)) +
   (IF(ABS(RawData!F33 - RawData!D33)/RawData!D33 &lt; 0.02,5,0)) +
   (IF(RawData!G33&lt;RawData!D33,5,0)) +
   LogicEngine!$C33
)</f>
        <v>30</v>
      </c>
      <c r="M33" s="38" t="str">
        <f>IF(LogicEngine!$K33&gt;LogicEngine!$L33,"Call",
   IF(LogicEngine!$L33&gt;LogicEngine!$K33,"Put","Avoid")
)</f>
        <v>Put</v>
      </c>
      <c r="N33" s="38">
        <f>MAX(LogicEngine!$K33,LogicEngine!$L33)</f>
        <v>30</v>
      </c>
      <c r="O33" s="38" t="str">
        <f>IF(LogicEngine!$D33="","",
 "Bias: " &amp; LogicEngine!$M33 &amp;
 " | Regime: " &amp; LogicEngine!$D33 &amp;
 " | Delta: " &amp; LogicEngine!$E33 &amp;
 " | Vanna: " &amp; LogicEngine!$F33 &amp;
 " | Charm: " &amp; LogicEngine!$G33 &amp;
 " | Flip: " &amp; LogicEngine!$J33
)</f>
        <v>Bias: Put | Regime: Long Gamma | Delta: Dealers Long (Sell Rips) | Vanna: Downside Pressure | Charm: Sell Into Close | Flip: Above Flip</v>
      </c>
    </row>
    <row r="34" spans="1:15">
      <c r="A34" s="37" t="str">
        <f>RawData!A34</f>
        <v>INTC</v>
      </c>
      <c r="B34" s="37">
        <f>RawData!B34</f>
        <v>2</v>
      </c>
      <c r="C34" s="37">
        <f t="shared" ref="C34:C61" si="1">IF(B34=1,10,IF(B34=2,5,0))</f>
        <v>5</v>
      </c>
      <c r="D34" s="37" t="str">
        <f>IF(RawData!H34="","",
   IF(RawData!H34&gt;0,"Long Gamma","Short Gamma")
)</f>
        <v>Long Gamma</v>
      </c>
      <c r="E34" s="37" t="str">
        <f>IF(RawData!K34="","",
   IF(RawData!K34&gt;0,"Dealers Long (Sell Rips)","Dealers Short (Buy Rips)")
)</f>
        <v>Dealers Long (Sell Rips)</v>
      </c>
      <c r="F34" s="37" t="str">
        <f>IF(OR(RawData!I34="",RawData!O34=""),"",
   IF(RawData!I34&gt;0,
      IF(RawData!O34&gt;50,"Downside Pressure","Upside Drift"),
      IF(RawData!O34&gt;50,"Upside Pressure","Downside Drift")
   )
)</f>
        <v>Downside Pressure</v>
      </c>
      <c r="G34" s="37" t="str">
        <f>IF(RawData!J34="","",
   IF(RawData!J34&lt;0,"Sell Into Close","Buy Into Close")
)</f>
        <v>Sell Into Close</v>
      </c>
      <c r="H34" s="37" t="b">
        <f>IF(
    RawData_Query[[#This Row],[CallWallStrike]]="",
    FALSE,
    ABS(RawData_Query[[#This Row],[CallWallStrike]] - RawData_Query[[#This Row],[Price]]) / RawData_Query[[#This Row],[Price]] &lt; 0.02
)</f>
        <v>0</v>
      </c>
      <c r="I34" s="37" t="b">
        <f>IF(
    RawData_Query[[#This Row],[PutWallStrike]]="",
    FALSE,
    ABS(RawData_Query[[#This Row],[PutWallStrike]] - RawData_Query[[#This Row],[Price]]) / RawData_Query[[#This Row],[Price]] &lt; 0.02
)</f>
        <v>0</v>
      </c>
      <c r="J34" s="37" t="str">
        <f>IF(RawData!G34="","",
   IF(RawData!G34 &lt; RawData!D34,"Below Flip","Above Flip")
)</f>
        <v>Below Flip</v>
      </c>
      <c r="K34" s="37">
        <f>IF(RawData!H34="","",
   (IF(LogicEngine!$D34="Long Gamma",10,0)) +
   (IF(RawData!K34&lt;0,10,0)) +
   (IF(AND(RawData!I34&lt;0,RawData!O34&gt;50),10,0)) +
   (IF(AND(RawData!I34&gt;0,RawData!O34&lt;50),10,0)) +
   (IF(ABS(RawData!E34 - RawData!D34)/RawData!D34 &lt; 0.02,5,0)) +
   (IF(RawData!G34&gt;RawData!D34,5,0)) +
   LogicEngine!$C34
)</f>
        <v>15</v>
      </c>
      <c r="L34" s="37">
        <f>IF(RawData!H34="","",
   (IF(LogicEngine!$D34="Short Gamma",10,0)) +
   (IF(RawData!K34&gt;0,10,0)) +
   (IF(AND(RawData!I34&gt;0,RawData!O34&gt;50),10,0)) +
   (IF(AND(RawData!I34&lt;0,RawData!O34&lt;50),10,0)) +
   (IF(ABS(RawData!F34 - RawData!D34)/RawData!D34 &lt; 0.02,5,0)) +
   (IF(RawData!G34&lt;RawData!D34,5,0)) +
   LogicEngine!$C34
)</f>
        <v>30</v>
      </c>
      <c r="M34" s="37" t="str">
        <f>IF(LogicEngine!$K34&gt;LogicEngine!$L34,"Call",
   IF(LogicEngine!$L34&gt;LogicEngine!$K34,"Put","Avoid")
)</f>
        <v>Put</v>
      </c>
      <c r="N34" s="37">
        <f>MAX(LogicEngine!$K34,LogicEngine!$L34)</f>
        <v>30</v>
      </c>
      <c r="O34" s="37" t="str">
        <f>IF(LogicEngine!$D34="","",
 "Bias: " &amp; LogicEngine!$M34 &amp;
 " | Regime: " &amp; LogicEngine!$D34 &amp;
 " | Delta: " &amp; LogicEngine!$E34 &amp;
 " | Vanna: " &amp; LogicEngine!$F34 &amp;
 " | Charm: " &amp; LogicEngine!$G34 &amp;
 " | Flip: " &amp; LogicEngine!$J34
)</f>
        <v>Bias: Put | Regime: Long Gamma | Delta: Dealers Long (Sell Rips) | Vanna: Downside Pressure | Charm: Sell Into Close | Flip: Below Flip</v>
      </c>
    </row>
    <row r="35" spans="1:15">
      <c r="A35" s="38" t="str">
        <f>RawData!A35</f>
        <v>SMCI</v>
      </c>
      <c r="B35" s="38">
        <f>RawData!B35</f>
        <v>2</v>
      </c>
      <c r="C35" s="38">
        <f t="shared" si="1"/>
        <v>5</v>
      </c>
      <c r="D35" s="38" t="str">
        <f>IF(RawData!H35="","",
   IF(RawData!H35&gt;0,"Long Gamma","Short Gamma")
)</f>
        <v>Long Gamma</v>
      </c>
      <c r="E35" s="38" t="str">
        <f>IF(RawData!K35="","",
   IF(RawData!K35&gt;0,"Dealers Long (Sell Rips)","Dealers Short (Buy Rips)")
)</f>
        <v>Dealers Long (Sell Rips)</v>
      </c>
      <c r="F35" s="38" t="str">
        <f>IF(OR(RawData!I35="",RawData!O35=""),"",
   IF(RawData!I35&gt;0,
      IF(RawData!O35&gt;50,"Downside Pressure","Upside Drift"),
      IF(RawData!O35&gt;50,"Upside Pressure","Downside Drift")
   )
)</f>
        <v>Upside Drift</v>
      </c>
      <c r="G35" s="38" t="str">
        <f>IF(RawData!J35="","",
   IF(RawData!J35&lt;0,"Sell Into Close","Buy Into Close")
)</f>
        <v>Sell Into Close</v>
      </c>
      <c r="H35" s="38" t="b">
        <f>IF(
    RawData_Query[[#This Row],[CallWallStrike]]="",
    FALSE,
    ABS(RawData_Query[[#This Row],[CallWallStrike]] - RawData_Query[[#This Row],[Price]]) / RawData_Query[[#This Row],[Price]] &lt; 0.02
)</f>
        <v>0</v>
      </c>
      <c r="I35" s="38" t="b">
        <f>IF(
    RawData_Query[[#This Row],[PutWallStrike]]="",
    FALSE,
    ABS(RawData_Query[[#This Row],[PutWallStrike]] - RawData_Query[[#This Row],[Price]]) / RawData_Query[[#This Row],[Price]] &lt; 0.02
)</f>
        <v>0</v>
      </c>
      <c r="J35" s="38" t="str">
        <f>IF(RawData!G35="","",
   IF(RawData!G35 &lt; RawData!D35,"Below Flip","Above Flip")
)</f>
        <v>Below Flip</v>
      </c>
      <c r="K35" s="38">
        <f>IF(RawData!H35="","",
   (IF(LogicEngine!$D35="Long Gamma",10,0)) +
   (IF(RawData!K35&lt;0,10,0)) +
   (IF(AND(RawData!I35&lt;0,RawData!O35&gt;50),10,0)) +
   (IF(AND(RawData!I35&gt;0,RawData!O35&lt;50),10,0)) +
   (IF(ABS(RawData!E35 - RawData!D35)/RawData!D35 &lt; 0.02,5,0)) +
   (IF(RawData!G35&gt;RawData!D35,5,0)) +
   LogicEngine!$C35
)</f>
        <v>25</v>
      </c>
      <c r="L35" s="38">
        <f>IF(RawData!H35="","",
   (IF(LogicEngine!$D35="Short Gamma",10,0)) +
   (IF(RawData!K35&gt;0,10,0)) +
   (IF(AND(RawData!I35&gt;0,RawData!O35&gt;50),10,0)) +
   (IF(AND(RawData!I35&lt;0,RawData!O35&lt;50),10,0)) +
   (IF(ABS(RawData!F35 - RawData!D35)/RawData!D35 &lt; 0.02,5,0)) +
   (IF(RawData!G35&lt;RawData!D35,5,0)) +
   LogicEngine!$C35
)</f>
        <v>20</v>
      </c>
      <c r="M35" s="38" t="str">
        <f>IF(LogicEngine!$K35&gt;LogicEngine!$L35,"Call",
   IF(LogicEngine!$L35&gt;LogicEngine!$K35,"Put","Avoid")
)</f>
        <v>Call</v>
      </c>
      <c r="N35" s="38">
        <f>MAX(LogicEngine!$K35,LogicEngine!$L35)</f>
        <v>25</v>
      </c>
      <c r="O35" s="38" t="str">
        <f>IF(LogicEngine!$D35="","",
 "Bias: " &amp; LogicEngine!$M35 &amp;
 " | Regime: " &amp; LogicEngine!$D35 &amp;
 " | Delta: " &amp; LogicEngine!$E35 &amp;
 " | Vanna: " &amp; LogicEngine!$F35 &amp;
 " | Charm: " &amp; LogicEngine!$G35 &amp;
 " | Flip: " &amp; LogicEngine!$J35
)</f>
        <v>Bias: Call | Regime: Long Gamma | Delta: Dealers Long (Sell Rips) | Vanna: Upside Drift | Charm: Sell Into Close | Flip: Below Flip</v>
      </c>
    </row>
    <row r="36" spans="1:15">
      <c r="A36" s="37" t="str">
        <f>RawData!A36</f>
        <v>AVGO</v>
      </c>
      <c r="B36" s="37">
        <f>RawData!B36</f>
        <v>1</v>
      </c>
      <c r="C36" s="37">
        <f t="shared" si="1"/>
        <v>10</v>
      </c>
      <c r="D36" s="37" t="str">
        <f>IF(RawData!H36="","",
   IF(RawData!H36&gt;0,"Long Gamma","Short Gamma")
)</f>
        <v>Long Gamma</v>
      </c>
      <c r="E36" s="37" t="str">
        <f>IF(RawData!K36="","",
   IF(RawData!K36&gt;0,"Dealers Long (Sell Rips)","Dealers Short (Buy Rips)")
)</f>
        <v>Dealers Long (Sell Rips)</v>
      </c>
      <c r="F36" s="37" t="str">
        <f>IF(OR(RawData!I36="",RawData!O36=""),"",
   IF(RawData!I36&gt;0,
      IF(RawData!O36&gt;50,"Downside Pressure","Upside Drift"),
      IF(RawData!O36&gt;50,"Upside Pressure","Downside Drift")
   )
)</f>
        <v>Downside Pressure</v>
      </c>
      <c r="G36" s="37" t="str">
        <f>IF(RawData!J36="","",
   IF(RawData!J36&lt;0,"Sell Into Close","Buy Into Close")
)</f>
        <v>Sell Into Close</v>
      </c>
      <c r="H36" s="37" t="b">
        <f>IF(
    RawData_Query[[#This Row],[CallWallStrike]]="",
    FALSE,
    ABS(RawData_Query[[#This Row],[CallWallStrike]] - RawData_Query[[#This Row],[Price]]) / RawData_Query[[#This Row],[Price]] &lt; 0.02
)</f>
        <v>1</v>
      </c>
      <c r="I36" s="37" t="b">
        <f>IF(
    RawData_Query[[#This Row],[PutWallStrike]]="",
    FALSE,
    ABS(RawData_Query[[#This Row],[PutWallStrike]] - RawData_Query[[#This Row],[Price]]) / RawData_Query[[#This Row],[Price]] &lt; 0.02
)</f>
        <v>0</v>
      </c>
      <c r="J36" s="37" t="str">
        <f>IF(RawData!G36="","",
   IF(RawData!G36 &lt; RawData!D36,"Below Flip","Above Flip")
)</f>
        <v>Below Flip</v>
      </c>
      <c r="K36" s="37">
        <f>IF(RawData!H36="","",
   (IF(LogicEngine!$D36="Long Gamma",10,0)) +
   (IF(RawData!K36&lt;0,10,0)) +
   (IF(AND(RawData!I36&lt;0,RawData!O36&gt;50),10,0)) +
   (IF(AND(RawData!I36&gt;0,RawData!O36&lt;50),10,0)) +
   (IF(ABS(RawData!E36 - RawData!D36)/RawData!D36 &lt; 0.02,5,0)) +
   (IF(RawData!G36&gt;RawData!D36,5,0)) +
   LogicEngine!$C36
)</f>
        <v>25</v>
      </c>
      <c r="L36" s="37">
        <f>IF(RawData!H36="","",
   (IF(LogicEngine!$D36="Short Gamma",10,0)) +
   (IF(RawData!K36&gt;0,10,0)) +
   (IF(AND(RawData!I36&gt;0,RawData!O36&gt;50),10,0)) +
   (IF(AND(RawData!I36&lt;0,RawData!O36&lt;50),10,0)) +
   (IF(ABS(RawData!F36 - RawData!D36)/RawData!D36 &lt; 0.02,5,0)) +
   (IF(RawData!G36&lt;RawData!D36,5,0)) +
   LogicEngine!$C36
)</f>
        <v>35</v>
      </c>
      <c r="M36" s="37" t="str">
        <f>IF(LogicEngine!$K36&gt;LogicEngine!$L36,"Call",
   IF(LogicEngine!$L36&gt;LogicEngine!$K36,"Put","Avoid")
)</f>
        <v>Put</v>
      </c>
      <c r="N36" s="37">
        <f>MAX(LogicEngine!$K36,LogicEngine!$L36)</f>
        <v>35</v>
      </c>
      <c r="O36" s="37" t="str">
        <f>IF(LogicEngine!$D36="","",
 "Bias: " &amp; LogicEngine!$M36 &amp;
 " | Regime: " &amp; LogicEngine!$D36 &amp;
 " | Delta: " &amp; LogicEngine!$E36 &amp;
 " | Vanna: " &amp; LogicEngine!$F36 &amp;
 " | Charm: " &amp; LogicEngine!$G36 &amp;
 " | Flip: " &amp; LogicEngine!$J36
)</f>
        <v>Bias: Put | Regime: Long Gamma | Delta: Dealers Long (Sell Rips) | Vanna: Downside Pressure | Charm: Sell Into Close | Flip: Below Flip</v>
      </c>
    </row>
    <row r="37" spans="1:15">
      <c r="A37" s="38" t="str">
        <f>RawData!A37</f>
        <v>APLD</v>
      </c>
      <c r="B37" s="38">
        <f>RawData!B37</f>
        <v>3</v>
      </c>
      <c r="C37" s="38">
        <f t="shared" si="1"/>
        <v>0</v>
      </c>
      <c r="D37" s="38" t="str">
        <f>IF(RawData!H37="","",
   IF(RawData!H37&gt;0,"Long Gamma","Short Gamma")
)</f>
        <v>Long Gamma</v>
      </c>
      <c r="E37" s="38" t="str">
        <f>IF(RawData!K37="","",
   IF(RawData!K37&gt;0,"Dealers Long (Sell Rips)","Dealers Short (Buy Rips)")
)</f>
        <v>Dealers Long (Sell Rips)</v>
      </c>
      <c r="F37" s="38" t="str">
        <f>IF(OR(RawData!I37="",RawData!O37=""),"",
   IF(RawData!I37&gt;0,
      IF(RawData!O37&gt;50,"Downside Pressure","Upside Drift"),
      IF(RawData!O37&gt;50,"Upside Pressure","Downside Drift")
   )
)</f>
        <v>Upside Drift</v>
      </c>
      <c r="G37" s="38" t="str">
        <f>IF(RawData!J37="","",
   IF(RawData!J37&lt;0,"Sell Into Close","Buy Into Close")
)</f>
        <v>Sell Into Close</v>
      </c>
      <c r="H37" s="38" t="b">
        <f>IF(
    RawData_Query[[#This Row],[CallWallStrike]]="",
    FALSE,
    ABS(RawData_Query[[#This Row],[CallWallStrike]] - RawData_Query[[#This Row],[Price]]) / RawData_Query[[#This Row],[Price]] &lt; 0.02
)</f>
        <v>0</v>
      </c>
      <c r="I37" s="38" t="b">
        <f>IF(
    RawData_Query[[#This Row],[PutWallStrike]]="",
    FALSE,
    ABS(RawData_Query[[#This Row],[PutWallStrike]] - RawData_Query[[#This Row],[Price]]) / RawData_Query[[#This Row],[Price]] &lt; 0.02
)</f>
        <v>0</v>
      </c>
      <c r="J37" s="38" t="str">
        <f>IF(RawData!G37="","",
   IF(RawData!G37 &lt; RawData!D37,"Below Flip","Above Flip")
)</f>
        <v>Below Flip</v>
      </c>
      <c r="K37" s="38">
        <f>IF(RawData!H37="","",
   (IF(LogicEngine!$D37="Long Gamma",10,0)) +
   (IF(RawData!K37&lt;0,10,0)) +
   (IF(AND(RawData!I37&lt;0,RawData!O37&gt;50),10,0)) +
   (IF(AND(RawData!I37&gt;0,RawData!O37&lt;50),10,0)) +
   (IF(ABS(RawData!E37 - RawData!D37)/RawData!D37 &lt; 0.02,5,0)) +
   (IF(RawData!G37&gt;RawData!D37,5,0)) +
   LogicEngine!$C37
)</f>
        <v>20</v>
      </c>
      <c r="L37" s="38">
        <f>IF(RawData!H37="","",
   (IF(LogicEngine!$D37="Short Gamma",10,0)) +
   (IF(RawData!K37&gt;0,10,0)) +
   (IF(AND(RawData!I37&gt;0,RawData!O37&gt;50),10,0)) +
   (IF(AND(RawData!I37&lt;0,RawData!O37&lt;50),10,0)) +
   (IF(ABS(RawData!F37 - RawData!D37)/RawData!D37 &lt; 0.02,5,0)) +
   (IF(RawData!G37&lt;RawData!D37,5,0)) +
   LogicEngine!$C37
)</f>
        <v>15</v>
      </c>
      <c r="M37" s="38" t="str">
        <f>IF(LogicEngine!$K37&gt;LogicEngine!$L37,"Call",
   IF(LogicEngine!$L37&gt;LogicEngine!$K37,"Put","Avoid")
)</f>
        <v>Call</v>
      </c>
      <c r="N37" s="38">
        <f>MAX(LogicEngine!$K37,LogicEngine!$L37)</f>
        <v>20</v>
      </c>
      <c r="O37" s="38" t="str">
        <f>IF(LogicEngine!$D37="","",
 "Bias: " &amp; LogicEngine!$M37 &amp;
 " | Regime: " &amp; LogicEngine!$D37 &amp;
 " | Delta: " &amp; LogicEngine!$E37 &amp;
 " | Vanna: " &amp; LogicEngine!$F37 &amp;
 " | Charm: " &amp; LogicEngine!$G37 &amp;
 " | Flip: " &amp; LogicEngine!$J37
)</f>
        <v>Bias: Call | Regime: Long Gamma | Delta: Dealers Long (Sell Rips) | Vanna: Upside Drift | Charm: Sell Into Close | Flip: Below Flip</v>
      </c>
    </row>
    <row r="38" spans="1:15">
      <c r="A38" s="37" t="str">
        <f>RawData!A38</f>
        <v>BE</v>
      </c>
      <c r="B38" s="37">
        <f>RawData!B38</f>
        <v>3</v>
      </c>
      <c r="C38" s="37">
        <f t="shared" si="1"/>
        <v>0</v>
      </c>
      <c r="D38" s="37" t="str">
        <f>IF(RawData!H38="","",
   IF(RawData!H38&gt;0,"Long Gamma","Short Gamma")
)</f>
        <v>Long Gamma</v>
      </c>
      <c r="E38" s="37" t="str">
        <f>IF(RawData!K38="","",
   IF(RawData!K38&gt;0,"Dealers Long (Sell Rips)","Dealers Short (Buy Rips)")
)</f>
        <v>Dealers Long (Sell Rips)</v>
      </c>
      <c r="F38" s="37" t="str">
        <f>IF(OR(RawData!I38="",RawData!O38=""),"",
   IF(RawData!I38&gt;0,
      IF(RawData!O38&gt;50,"Downside Pressure","Upside Drift"),
      IF(RawData!O38&gt;50,"Upside Pressure","Downside Drift")
   )
)</f>
        <v>Downside Pressure</v>
      </c>
      <c r="G38" s="37" t="str">
        <f>IF(RawData!J38="","",
   IF(RawData!J38&lt;0,"Sell Into Close","Buy Into Close")
)</f>
        <v>Sell Into Close</v>
      </c>
      <c r="H38" s="37" t="b">
        <f>IF(
    RawData_Query[[#This Row],[CallWallStrike]]="",
    FALSE,
    ABS(RawData_Query[[#This Row],[CallWallStrike]] - RawData_Query[[#This Row],[Price]]) / RawData_Query[[#This Row],[Price]] &lt; 0.02
)</f>
        <v>0</v>
      </c>
      <c r="I38" s="37" t="b">
        <f>IF(
    RawData_Query[[#This Row],[PutWallStrike]]="",
    FALSE,
    ABS(RawData_Query[[#This Row],[PutWallStrike]] - RawData_Query[[#This Row],[Price]]) / RawData_Query[[#This Row],[Price]] &lt; 0.02
)</f>
        <v>0</v>
      </c>
      <c r="J38" s="37" t="str">
        <f>IF(RawData!G38="","",
   IF(RawData!G38 &lt; RawData!D38,"Below Flip","Above Flip")
)</f>
        <v>Below Flip</v>
      </c>
      <c r="K38" s="37">
        <f>IF(RawData!H38="","",
   (IF(LogicEngine!$D38="Long Gamma",10,0)) +
   (IF(RawData!K38&lt;0,10,0)) +
   (IF(AND(RawData!I38&lt;0,RawData!O38&gt;50),10,0)) +
   (IF(AND(RawData!I38&gt;0,RawData!O38&lt;50),10,0)) +
   (IF(ABS(RawData!E38 - RawData!D38)/RawData!D38 &lt; 0.02,5,0)) +
   (IF(RawData!G38&gt;RawData!D38,5,0)) +
   LogicEngine!$C38
)</f>
        <v>10</v>
      </c>
      <c r="L38" s="37">
        <f>IF(RawData!H38="","",
   (IF(LogicEngine!$D38="Short Gamma",10,0)) +
   (IF(RawData!K38&gt;0,10,0)) +
   (IF(AND(RawData!I38&gt;0,RawData!O38&gt;50),10,0)) +
   (IF(AND(RawData!I38&lt;0,RawData!O38&lt;50),10,0)) +
   (IF(ABS(RawData!F38 - RawData!D38)/RawData!D38 &lt; 0.02,5,0)) +
   (IF(RawData!G38&lt;RawData!D38,5,0)) +
   LogicEngine!$C38
)</f>
        <v>25</v>
      </c>
      <c r="M38" s="37" t="str">
        <f>IF(LogicEngine!$K38&gt;LogicEngine!$L38,"Call",
   IF(LogicEngine!$L38&gt;LogicEngine!$K38,"Put","Avoid")
)</f>
        <v>Put</v>
      </c>
      <c r="N38" s="37">
        <f>MAX(LogicEngine!$K38,LogicEngine!$L38)</f>
        <v>25</v>
      </c>
      <c r="O38" s="37" t="str">
        <f>IF(LogicEngine!$D38="","",
 "Bias: " &amp; LogicEngine!$M38 &amp;
 " | Regime: " &amp; LogicEngine!$D38 &amp;
 " | Delta: " &amp; LogicEngine!$E38 &amp;
 " | Vanna: " &amp; LogicEngine!$F38 &amp;
 " | Charm: " &amp; LogicEngine!$G38 &amp;
 " | Flip: " &amp; LogicEngine!$J38
)</f>
        <v>Bias: Put | Regime: Long Gamma | Delta: Dealers Long (Sell Rips) | Vanna: Downside Pressure | Charm: Sell Into Close | Flip: Below Flip</v>
      </c>
    </row>
    <row r="39" spans="1:15">
      <c r="A39" s="38" t="str">
        <f>RawData!A39</f>
        <v>XLE</v>
      </c>
      <c r="B39" s="38">
        <f>RawData!B39</f>
        <v>1</v>
      </c>
      <c r="C39" s="38">
        <f t="shared" si="1"/>
        <v>10</v>
      </c>
      <c r="D39" s="38" t="str">
        <f>IF(RawData!H39="","",
   IF(RawData!H39&gt;0,"Long Gamma","Short Gamma")
)</f>
        <v>Short Gamma</v>
      </c>
      <c r="E39" s="38" t="str">
        <f>IF(RawData!K39="","",
   IF(RawData!K39&gt;0,"Dealers Long (Sell Rips)","Dealers Short (Buy Rips)")
)</f>
        <v>Dealers Long (Sell Rips)</v>
      </c>
      <c r="F39" s="38" t="str">
        <f>IF(OR(RawData!I39="",RawData!O39=""),"",
   IF(RawData!I39&gt;0,
      IF(RawData!O39&gt;50,"Downside Pressure","Upside Drift"),
      IF(RawData!O39&gt;50,"Upside Pressure","Downside Drift")
   )
)</f>
        <v>Downside Pressure</v>
      </c>
      <c r="G39" s="38" t="str">
        <f>IF(RawData!J39="","",
   IF(RawData!J39&lt;0,"Sell Into Close","Buy Into Close")
)</f>
        <v>Sell Into Close</v>
      </c>
      <c r="H39" s="38" t="b">
        <f>IF(
    RawData_Query[[#This Row],[CallWallStrike]]="",
    FALSE,
    ABS(RawData_Query[[#This Row],[CallWallStrike]] - RawData_Query[[#This Row],[Price]]) / RawData_Query[[#This Row],[Price]] &lt; 0.02
)</f>
        <v>0</v>
      </c>
      <c r="I39" s="38" t="b">
        <f>IF(
    RawData_Query[[#This Row],[PutWallStrike]]="",
    FALSE,
    ABS(RawData_Query[[#This Row],[PutWallStrike]] - RawData_Query[[#This Row],[Price]]) / RawData_Query[[#This Row],[Price]] &lt; 0.02
)</f>
        <v>0</v>
      </c>
      <c r="J39" s="38" t="str">
        <f>IF(RawData!G39="","",
   IF(RawData!G39 &lt; RawData!D39,"Below Flip","Above Flip")
)</f>
        <v>Below Flip</v>
      </c>
      <c r="K39" s="38">
        <f>IF(RawData!H39="","",
   (IF(LogicEngine!$D39="Long Gamma",10,0)) +
   (IF(RawData!K39&lt;0,10,0)) +
   (IF(AND(RawData!I39&lt;0,RawData!O39&gt;50),10,0)) +
   (IF(AND(RawData!I39&gt;0,RawData!O39&lt;50),10,0)) +
   (IF(ABS(RawData!E39 - RawData!D39)/RawData!D39 &lt; 0.02,5,0)) +
   (IF(RawData!G39&gt;RawData!D39,5,0)) +
   LogicEngine!$C39
)</f>
        <v>10</v>
      </c>
      <c r="L39" s="38">
        <f>IF(RawData!H39="","",
   (IF(LogicEngine!$D39="Short Gamma",10,0)) +
   (IF(RawData!K39&gt;0,10,0)) +
   (IF(AND(RawData!I39&gt;0,RawData!O39&gt;50),10,0)) +
   (IF(AND(RawData!I39&lt;0,RawData!O39&lt;50),10,0)) +
   (IF(ABS(RawData!F39 - RawData!D39)/RawData!D39 &lt; 0.02,5,0)) +
   (IF(RawData!G39&lt;RawData!D39,5,0)) +
   LogicEngine!$C39
)</f>
        <v>45</v>
      </c>
      <c r="M39" s="38" t="str">
        <f>IF(LogicEngine!$K39&gt;LogicEngine!$L39,"Call",
   IF(LogicEngine!$L39&gt;LogicEngine!$K39,"Put","Avoid")
)</f>
        <v>Put</v>
      </c>
      <c r="N39" s="38">
        <f>MAX(LogicEngine!$K39,LogicEngine!$L39)</f>
        <v>45</v>
      </c>
      <c r="O39" s="38" t="str">
        <f>IF(LogicEngine!$D39="","",
 "Bias: " &amp; LogicEngine!$M39 &amp;
 " | Regime: " &amp; LogicEngine!$D39 &amp;
 " | Delta: " &amp; LogicEngine!$E39 &amp;
 " | Vanna: " &amp; LogicEngine!$F39 &amp;
 " | Charm: " &amp; LogicEngine!$G39 &amp;
 " | Flip: " &amp; LogicEngine!$J39
)</f>
        <v>Bias: Put | Regime: Short Gamma | Delta: Dealers Long (Sell Rips) | Vanna: Downside Pressure | Charm: Sell Into Close | Flip: Below Flip</v>
      </c>
    </row>
    <row r="40" spans="1:15">
      <c r="A40" s="37" t="str">
        <f>RawData!A40</f>
        <v>RKLB</v>
      </c>
      <c r="B40" s="37">
        <f>RawData!B40</f>
        <v>2</v>
      </c>
      <c r="C40" s="37">
        <f t="shared" si="1"/>
        <v>5</v>
      </c>
      <c r="D40" s="37" t="str">
        <f>IF(RawData!H40="","",
   IF(RawData!H40&gt;0,"Long Gamma","Short Gamma")
)</f>
        <v>Short Gamma</v>
      </c>
      <c r="E40" s="37" t="str">
        <f>IF(RawData!K40="","",
   IF(RawData!K40&gt;0,"Dealers Long (Sell Rips)","Dealers Short (Buy Rips)")
)</f>
        <v>Dealers Long (Sell Rips)</v>
      </c>
      <c r="F40" s="37" t="str">
        <f>IF(OR(RawData!I40="",RawData!O40=""),"",
   IF(RawData!I40&gt;0,
      IF(RawData!O40&gt;50,"Downside Pressure","Upside Drift"),
      IF(RawData!O40&gt;50,"Upside Pressure","Downside Drift")
   )
)</f>
        <v>Upside Pressure</v>
      </c>
      <c r="G40" s="37" t="str">
        <f>IF(RawData!J40="","",
   IF(RawData!J40&lt;0,"Sell Into Close","Buy Into Close")
)</f>
        <v>Sell Into Close</v>
      </c>
      <c r="H40" s="37" t="b">
        <f>IF(
    RawData_Query[[#This Row],[CallWallStrike]]="",
    FALSE,
    ABS(RawData_Query[[#This Row],[CallWallStrike]] - RawData_Query[[#This Row],[Price]]) / RawData_Query[[#This Row],[Price]] &lt; 0.02
)</f>
        <v>0</v>
      </c>
      <c r="I40" s="37" t="b">
        <f>IF(
    RawData_Query[[#This Row],[PutWallStrike]]="",
    FALSE,
    ABS(RawData_Query[[#This Row],[PutWallStrike]] - RawData_Query[[#This Row],[Price]]) / RawData_Query[[#This Row],[Price]] &lt; 0.02
)</f>
        <v>0</v>
      </c>
      <c r="J40" s="37" t="str">
        <f>IF(RawData!G40="","",
   IF(RawData!G40 &lt; RawData!D40,"Below Flip","Above Flip")
)</f>
        <v>Below Flip</v>
      </c>
      <c r="K40" s="37">
        <f>IF(RawData!H40="","",
   (IF(LogicEngine!$D40="Long Gamma",10,0)) +
   (IF(RawData!K40&lt;0,10,0)) +
   (IF(AND(RawData!I40&lt;0,RawData!O40&gt;50),10,0)) +
   (IF(AND(RawData!I40&gt;0,RawData!O40&lt;50),10,0)) +
   (IF(ABS(RawData!E40 - RawData!D40)/RawData!D40 &lt; 0.02,5,0)) +
   (IF(RawData!G40&gt;RawData!D40,5,0)) +
   LogicEngine!$C40
)</f>
        <v>15</v>
      </c>
      <c r="L40" s="37">
        <f>IF(RawData!H40="","",
   (IF(LogicEngine!$D40="Short Gamma",10,0)) +
   (IF(RawData!K40&gt;0,10,0)) +
   (IF(AND(RawData!I40&gt;0,RawData!O40&gt;50),10,0)) +
   (IF(AND(RawData!I40&lt;0,RawData!O40&lt;50),10,0)) +
   (IF(ABS(RawData!F40 - RawData!D40)/RawData!D40 &lt; 0.02,5,0)) +
   (IF(RawData!G40&lt;RawData!D40,5,0)) +
   LogicEngine!$C40
)</f>
        <v>30</v>
      </c>
      <c r="M40" s="37" t="str">
        <f>IF(LogicEngine!$K40&gt;LogicEngine!$L40,"Call",
   IF(LogicEngine!$L40&gt;LogicEngine!$K40,"Put","Avoid")
)</f>
        <v>Put</v>
      </c>
      <c r="N40" s="37">
        <f>MAX(LogicEngine!$K40,LogicEngine!$L40)</f>
        <v>30</v>
      </c>
      <c r="O40" s="37" t="str">
        <f>IF(LogicEngine!$D40="","",
 "Bias: " &amp; LogicEngine!$M40 &amp;
 " | Regime: " &amp; LogicEngine!$D40 &amp;
 " | Delta: " &amp; LogicEngine!$E40 &amp;
 " | Vanna: " &amp; LogicEngine!$F40 &amp;
 " | Charm: " &amp; LogicEngine!$G40 &amp;
 " | Flip: " &amp; LogicEngine!$J40
)</f>
        <v>Bias: Put | Regime: Short Gamma | Delta: Dealers Long (Sell Rips) | Vanna: Upside Pressure | Charm: Sell Into Close | Flip: Below Flip</v>
      </c>
    </row>
    <row r="41" spans="1:15">
      <c r="A41" s="38" t="str">
        <f>RawData!A41</f>
        <v>RIOT</v>
      </c>
      <c r="B41" s="38">
        <f>RawData!B41</f>
        <v>2</v>
      </c>
      <c r="C41" s="38">
        <f t="shared" si="1"/>
        <v>5</v>
      </c>
      <c r="D41" s="38" t="str">
        <f>IF(RawData!H41="","",
   IF(RawData!H41&gt;0,"Long Gamma","Short Gamma")
)</f>
        <v>Long Gamma</v>
      </c>
      <c r="E41" s="38" t="str">
        <f>IF(RawData!K41="","",
   IF(RawData!K41&gt;0,"Dealers Long (Sell Rips)","Dealers Short (Buy Rips)")
)</f>
        <v>Dealers Long (Sell Rips)</v>
      </c>
      <c r="F41" s="38" t="str">
        <f>IF(OR(RawData!I41="",RawData!O41=""),"",
   IF(RawData!I41&gt;0,
      IF(RawData!O41&gt;50,"Downside Pressure","Upside Drift"),
      IF(RawData!O41&gt;50,"Upside Pressure","Downside Drift")
   )
)</f>
        <v>Upside Drift</v>
      </c>
      <c r="G41" s="38" t="str">
        <f>IF(RawData!J41="","",
   IF(RawData!J41&lt;0,"Sell Into Close","Buy Into Close")
)</f>
        <v>Sell Into Close</v>
      </c>
      <c r="H41" s="38" t="b">
        <f>IF(
    RawData_Query[[#This Row],[CallWallStrike]]="",
    FALSE,
    ABS(RawData_Query[[#This Row],[CallWallStrike]] - RawData_Query[[#This Row],[Price]]) / RawData_Query[[#This Row],[Price]] &lt; 0.02
)</f>
        <v>0</v>
      </c>
      <c r="I41" s="38" t="b">
        <f>IF(
    RawData_Query[[#This Row],[PutWallStrike]]="",
    FALSE,
    ABS(RawData_Query[[#This Row],[PutWallStrike]] - RawData_Query[[#This Row],[Price]]) / RawData_Query[[#This Row],[Price]] &lt; 0.02
)</f>
        <v>0</v>
      </c>
      <c r="J41" s="38" t="str">
        <f>IF(RawData!G41="","",
   IF(RawData!G41 &lt; RawData!D41,"Below Flip","Above Flip")
)</f>
        <v>Below Flip</v>
      </c>
      <c r="K41" s="38">
        <f>IF(RawData!H41="","",
   (IF(LogicEngine!$D41="Long Gamma",10,0)) +
   (IF(RawData!K41&lt;0,10,0)) +
   (IF(AND(RawData!I41&lt;0,RawData!O41&gt;50),10,0)) +
   (IF(AND(RawData!I41&gt;0,RawData!O41&lt;50),10,0)) +
   (IF(ABS(RawData!E41 - RawData!D41)/RawData!D41 &lt; 0.02,5,0)) +
   (IF(RawData!G41&gt;RawData!D41,5,0)) +
   LogicEngine!$C41
)</f>
        <v>25</v>
      </c>
      <c r="L41" s="38">
        <f>IF(RawData!H41="","",
   (IF(LogicEngine!$D41="Short Gamma",10,0)) +
   (IF(RawData!K41&gt;0,10,0)) +
   (IF(AND(RawData!I41&gt;0,RawData!O41&gt;50),10,0)) +
   (IF(AND(RawData!I41&lt;0,RawData!O41&lt;50),10,0)) +
   (IF(ABS(RawData!F41 - RawData!D41)/RawData!D41 &lt; 0.02,5,0)) +
   (IF(RawData!G41&lt;RawData!D41,5,0)) +
   LogicEngine!$C41
)</f>
        <v>20</v>
      </c>
      <c r="M41" s="38" t="str">
        <f>IF(LogicEngine!$K41&gt;LogicEngine!$L41,"Call",
   IF(LogicEngine!$L41&gt;LogicEngine!$K41,"Put","Avoid")
)</f>
        <v>Call</v>
      </c>
      <c r="N41" s="38">
        <f>MAX(LogicEngine!$K41,LogicEngine!$L41)</f>
        <v>25</v>
      </c>
      <c r="O41" s="38" t="str">
        <f>IF(LogicEngine!$D41="","",
 "Bias: " &amp; LogicEngine!$M41 &amp;
 " | Regime: " &amp; LogicEngine!$D41 &amp;
 " | Delta: " &amp; LogicEngine!$E41 &amp;
 " | Vanna: " &amp; LogicEngine!$F41 &amp;
 " | Charm: " &amp; LogicEngine!$G41 &amp;
 " | Flip: " &amp; LogicEngine!$J41
)</f>
        <v>Bias: Call | Regime: Long Gamma | Delta: Dealers Long (Sell Rips) | Vanna: Upside Drift | Charm: Sell Into Close | Flip: Below Flip</v>
      </c>
    </row>
    <row r="42" spans="1:15">
      <c r="A42" s="37" t="str">
        <f>RawData!A42</f>
        <v>COIN</v>
      </c>
      <c r="B42" s="37">
        <f>RawData!B42</f>
        <v>2</v>
      </c>
      <c r="C42" s="37">
        <f t="shared" si="1"/>
        <v>5</v>
      </c>
      <c r="D42" s="37" t="str">
        <f>IF(RawData!H42="","",
   IF(RawData!H42&gt;0,"Long Gamma","Short Gamma")
)</f>
        <v>Short Gamma</v>
      </c>
      <c r="E42" s="37" t="str">
        <f>IF(RawData!K42="","",
   IF(RawData!K42&gt;0,"Dealers Long (Sell Rips)","Dealers Short (Buy Rips)")
)</f>
        <v>Dealers Long (Sell Rips)</v>
      </c>
      <c r="F42" s="37" t="str">
        <f>IF(OR(RawData!I42="",RawData!O42=""),"",
   IF(RawData!I42&gt;0,
      IF(RawData!O42&gt;50,"Downside Pressure","Upside Drift"),
      IF(RawData!O42&gt;50,"Upside Pressure","Downside Drift")
   )
)</f>
        <v>Upside Drift</v>
      </c>
      <c r="G42" s="37" t="str">
        <f>IF(RawData!J42="","",
   IF(RawData!J42&lt;0,"Sell Into Close","Buy Into Close")
)</f>
        <v>Sell Into Close</v>
      </c>
      <c r="H42" s="37" t="b">
        <f>IF(
    RawData_Query[[#This Row],[CallWallStrike]]="",
    FALSE,
    ABS(RawData_Query[[#This Row],[CallWallStrike]] - RawData_Query[[#This Row],[Price]]) / RawData_Query[[#This Row],[Price]] &lt; 0.02
)</f>
        <v>0</v>
      </c>
      <c r="I42" s="37" t="b">
        <f>IF(
    RawData_Query[[#This Row],[PutWallStrike]]="",
    FALSE,
    ABS(RawData_Query[[#This Row],[PutWallStrike]] - RawData_Query[[#This Row],[Price]]) / RawData_Query[[#This Row],[Price]] &lt; 0.02
)</f>
        <v>0</v>
      </c>
      <c r="J42" s="37" t="str">
        <f>IF(RawData!G42="","",
   IF(RawData!G42 &lt; RawData!D42,"Below Flip","Above Flip")
)</f>
        <v>Below Flip</v>
      </c>
      <c r="K42" s="37">
        <f>IF(RawData!H42="","",
   (IF(LogicEngine!$D42="Long Gamma",10,0)) +
   (IF(RawData!K42&lt;0,10,0)) +
   (IF(AND(RawData!I42&lt;0,RawData!O42&gt;50),10,0)) +
   (IF(AND(RawData!I42&gt;0,RawData!O42&lt;50),10,0)) +
   (IF(ABS(RawData!E42 - RawData!D42)/RawData!D42 &lt; 0.02,5,0)) +
   (IF(RawData!G42&gt;RawData!D42,5,0)) +
   LogicEngine!$C42
)</f>
        <v>15</v>
      </c>
      <c r="L42" s="37">
        <f>IF(RawData!H42="","",
   (IF(LogicEngine!$D42="Short Gamma",10,0)) +
   (IF(RawData!K42&gt;0,10,0)) +
   (IF(AND(RawData!I42&gt;0,RawData!O42&gt;50),10,0)) +
   (IF(AND(RawData!I42&lt;0,RawData!O42&lt;50),10,0)) +
   (IF(ABS(RawData!F42 - RawData!D42)/RawData!D42 &lt; 0.02,5,0)) +
   (IF(RawData!G42&lt;RawData!D42,5,0)) +
   LogicEngine!$C42
)</f>
        <v>30</v>
      </c>
      <c r="M42" s="37" t="str">
        <f>IF(LogicEngine!$K42&gt;LogicEngine!$L42,"Call",
   IF(LogicEngine!$L42&gt;LogicEngine!$K42,"Put","Avoid")
)</f>
        <v>Put</v>
      </c>
      <c r="N42" s="37">
        <f>MAX(LogicEngine!$K42,LogicEngine!$L42)</f>
        <v>30</v>
      </c>
      <c r="O42" s="37" t="str">
        <f>IF(LogicEngine!$D42="","",
 "Bias: " &amp; LogicEngine!$M42 &amp;
 " | Regime: " &amp; LogicEngine!$D42 &amp;
 " | Delta: " &amp; LogicEngine!$E42 &amp;
 " | Vanna: " &amp; LogicEngine!$F42 &amp;
 " | Charm: " &amp; LogicEngine!$G42 &amp;
 " | Flip: " &amp; LogicEngine!$J42
)</f>
        <v>Bias: Put | Regime: Short Gamma | Delta: Dealers Long (Sell Rips) | Vanna: Upside Drift | Charm: Sell Into Close | Flip: Below Flip</v>
      </c>
    </row>
    <row r="43" spans="1:15">
      <c r="A43" s="38" t="str">
        <f>RawData!A43</f>
        <v>MSTR</v>
      </c>
      <c r="B43" s="38">
        <f>RawData!B43</f>
        <v>2</v>
      </c>
      <c r="C43" s="38">
        <f t="shared" si="1"/>
        <v>5</v>
      </c>
      <c r="D43" s="38" t="str">
        <f>IF(RawData!H43="","",
   IF(RawData!H43&gt;0,"Long Gamma","Short Gamma")
)</f>
        <v>Short Gamma</v>
      </c>
      <c r="E43" s="38" t="str">
        <f>IF(RawData!K43="","",
   IF(RawData!K43&gt;0,"Dealers Long (Sell Rips)","Dealers Short (Buy Rips)")
)</f>
        <v>Dealers Long (Sell Rips)</v>
      </c>
      <c r="F43" s="38" t="str">
        <f>IF(OR(RawData!I43="",RawData!O43=""),"",
   IF(RawData!I43&gt;0,
      IF(RawData!O43&gt;50,"Downside Pressure","Upside Drift"),
      IF(RawData!O43&gt;50,"Upside Pressure","Downside Drift")
   )
)</f>
        <v>Downside Drift</v>
      </c>
      <c r="G43" s="38" t="str">
        <f>IF(RawData!J43="","",
   IF(RawData!J43&lt;0,"Sell Into Close","Buy Into Close")
)</f>
        <v>Buy Into Close</v>
      </c>
      <c r="H43" s="38" t="b">
        <f>IF(
    RawData_Query[[#This Row],[CallWallStrike]]="",
    FALSE,
    ABS(RawData_Query[[#This Row],[CallWallStrike]] - RawData_Query[[#This Row],[Price]]) / RawData_Query[[#This Row],[Price]] &lt; 0.02
)</f>
        <v>0</v>
      </c>
      <c r="I43" s="38" t="b">
        <f>IF(
    RawData_Query[[#This Row],[PutWallStrike]]="",
    FALSE,
    ABS(RawData_Query[[#This Row],[PutWallStrike]] - RawData_Query[[#This Row],[Price]]) / RawData_Query[[#This Row],[Price]] &lt; 0.02
)</f>
        <v>0</v>
      </c>
      <c r="J43" s="38" t="str">
        <f>IF(RawData!G43="","",
   IF(RawData!G43 &lt; RawData!D43,"Below Flip","Above Flip")
)</f>
        <v>Below Flip</v>
      </c>
      <c r="K43" s="38">
        <f>IF(RawData!H43="","",
   (IF(LogicEngine!$D43="Long Gamma",10,0)) +
   (IF(RawData!K43&lt;0,10,0)) +
   (IF(AND(RawData!I43&lt;0,RawData!O43&gt;50),10,0)) +
   (IF(AND(RawData!I43&gt;0,RawData!O43&lt;50),10,0)) +
   (IF(ABS(RawData!E43 - RawData!D43)/RawData!D43 &lt; 0.02,5,0)) +
   (IF(RawData!G43&gt;RawData!D43,5,0)) +
   LogicEngine!$C43
)</f>
        <v>5</v>
      </c>
      <c r="L43" s="38">
        <f>IF(RawData!H43="","",
   (IF(LogicEngine!$D43="Short Gamma",10,0)) +
   (IF(RawData!K43&gt;0,10,0)) +
   (IF(AND(RawData!I43&gt;0,RawData!O43&gt;50),10,0)) +
   (IF(AND(RawData!I43&lt;0,RawData!O43&lt;50),10,0)) +
   (IF(ABS(RawData!F43 - RawData!D43)/RawData!D43 &lt; 0.02,5,0)) +
   (IF(RawData!G43&lt;RawData!D43,5,0)) +
   LogicEngine!$C43
)</f>
        <v>40</v>
      </c>
      <c r="M43" s="38" t="str">
        <f>IF(LogicEngine!$K43&gt;LogicEngine!$L43,"Call",
   IF(LogicEngine!$L43&gt;LogicEngine!$K43,"Put","Avoid")
)</f>
        <v>Put</v>
      </c>
      <c r="N43" s="38">
        <f>MAX(LogicEngine!$K43,LogicEngine!$L43)</f>
        <v>40</v>
      </c>
      <c r="O43" s="38" t="str">
        <f>IF(LogicEngine!$D43="","",
 "Bias: " &amp; LogicEngine!$M43 &amp;
 " | Regime: " &amp; LogicEngine!$D43 &amp;
 " | Delta: " &amp; LogicEngine!$E43 &amp;
 " | Vanna: " &amp; LogicEngine!$F43 &amp;
 " | Charm: " &amp; LogicEngine!$G43 &amp;
 " | Flip: " &amp; LogicEngine!$J43
)</f>
        <v>Bias: Put | Regime: Short Gamma | Delta: Dealers Long (Sell Rips) | Vanna: Downside Drift | Charm: Buy Into Close | Flip: Below Flip</v>
      </c>
    </row>
    <row r="44" spans="1:15">
      <c r="A44" s="37" t="str">
        <f>RawData!A44</f>
        <v>SNOW</v>
      </c>
      <c r="B44" s="37">
        <f>RawData!B44</f>
        <v>2</v>
      </c>
      <c r="C44" s="37">
        <f t="shared" si="1"/>
        <v>5</v>
      </c>
      <c r="D44" s="37" t="str">
        <f>IF(RawData!H44="","",
   IF(RawData!H44&gt;0,"Long Gamma","Short Gamma")
)</f>
        <v>Short Gamma</v>
      </c>
      <c r="E44" s="37" t="str">
        <f>IF(RawData!K44="","",
   IF(RawData!K44&gt;0,"Dealers Long (Sell Rips)","Dealers Short (Buy Rips)")
)</f>
        <v>Dealers Long (Sell Rips)</v>
      </c>
      <c r="F44" s="37" t="str">
        <f>IF(OR(RawData!I44="",RawData!O44=""),"",
   IF(RawData!I44&gt;0,
      IF(RawData!O44&gt;50,"Downside Pressure","Upside Drift"),
      IF(RawData!O44&gt;50,"Upside Pressure","Downside Drift")
   )
)</f>
        <v>Upside Pressure</v>
      </c>
      <c r="G44" s="37" t="str">
        <f>IF(RawData!J44="","",
   IF(RawData!J44&lt;0,"Sell Into Close","Buy Into Close")
)</f>
        <v>Sell Into Close</v>
      </c>
      <c r="H44" s="37" t="b">
        <f>IF(
    RawData_Query[[#This Row],[CallWallStrike]]="",
    FALSE,
    ABS(RawData_Query[[#This Row],[CallWallStrike]] - RawData_Query[[#This Row],[Price]]) / RawData_Query[[#This Row],[Price]] &lt; 0.02
)</f>
        <v>0</v>
      </c>
      <c r="I44" s="37" t="b">
        <f>IF(
    RawData_Query[[#This Row],[PutWallStrike]]="",
    FALSE,
    ABS(RawData_Query[[#This Row],[PutWallStrike]] - RawData_Query[[#This Row],[Price]]) / RawData_Query[[#This Row],[Price]] &lt; 0.02
)</f>
        <v>0</v>
      </c>
      <c r="J44" s="37" t="str">
        <f>IF(RawData!G44="","",
   IF(RawData!G44 &lt; RawData!D44,"Below Flip","Above Flip")
)</f>
        <v>Below Flip</v>
      </c>
      <c r="K44" s="37">
        <f>IF(RawData!H44="","",
   (IF(LogicEngine!$D44="Long Gamma",10,0)) +
   (IF(RawData!K44&lt;0,10,0)) +
   (IF(AND(RawData!I44&lt;0,RawData!O44&gt;50),10,0)) +
   (IF(AND(RawData!I44&gt;0,RawData!O44&lt;50),10,0)) +
   (IF(ABS(RawData!E44 - RawData!D44)/RawData!D44 &lt; 0.02,5,0)) +
   (IF(RawData!G44&gt;RawData!D44,5,0)) +
   LogicEngine!$C44
)</f>
        <v>15</v>
      </c>
      <c r="L44" s="37">
        <f>IF(RawData!H44="","",
   (IF(LogicEngine!$D44="Short Gamma",10,0)) +
   (IF(RawData!K44&gt;0,10,0)) +
   (IF(AND(RawData!I44&gt;0,RawData!O44&gt;50),10,0)) +
   (IF(AND(RawData!I44&lt;0,RawData!O44&lt;50),10,0)) +
   (IF(ABS(RawData!F44 - RawData!D44)/RawData!D44 &lt; 0.02,5,0)) +
   (IF(RawData!G44&lt;RawData!D44,5,0)) +
   LogicEngine!$C44
)</f>
        <v>30</v>
      </c>
      <c r="M44" s="37" t="str">
        <f>IF(LogicEngine!$K44&gt;LogicEngine!$L44,"Call",
   IF(LogicEngine!$L44&gt;LogicEngine!$K44,"Put","Avoid")
)</f>
        <v>Put</v>
      </c>
      <c r="N44" s="37">
        <f>MAX(LogicEngine!$K44,LogicEngine!$L44)</f>
        <v>30</v>
      </c>
      <c r="O44" s="37" t="str">
        <f>IF(LogicEngine!$D44="","",
 "Bias: " &amp; LogicEngine!$M44 &amp;
 " | Regime: " &amp; LogicEngine!$D44 &amp;
 " | Delta: " &amp; LogicEngine!$E44 &amp;
 " | Vanna: " &amp; LogicEngine!$F44 &amp;
 " | Charm: " &amp; LogicEngine!$G44 &amp;
 " | Flip: " &amp; LogicEngine!$J44
)</f>
        <v>Bias: Put | Regime: Short Gamma | Delta: Dealers Long (Sell Rips) | Vanna: Upside Pressure | Charm: Sell Into Close | Flip: Below Flip</v>
      </c>
    </row>
    <row r="45" spans="1:15">
      <c r="A45" s="38" t="str">
        <f>RawData!A45</f>
        <v>LLY</v>
      </c>
      <c r="B45" s="38">
        <f>RawData!B45</f>
        <v>2</v>
      </c>
      <c r="C45" s="38">
        <f t="shared" si="1"/>
        <v>5</v>
      </c>
      <c r="D45" s="38" t="str">
        <f>IF(RawData!H45="","",
   IF(RawData!H45&gt;0,"Long Gamma","Short Gamma")
)</f>
        <v>Long Gamma</v>
      </c>
      <c r="E45" s="38" t="str">
        <f>IF(RawData!K45="","",
   IF(RawData!K45&gt;0,"Dealers Long (Sell Rips)","Dealers Short (Buy Rips)")
)</f>
        <v>Dealers Long (Sell Rips)</v>
      </c>
      <c r="F45" s="38" t="str">
        <f>IF(OR(RawData!I45="",RawData!O45=""),"",
   IF(RawData!I45&gt;0,
      IF(RawData!O45&gt;50,"Downside Pressure","Upside Drift"),
      IF(RawData!O45&gt;50,"Upside Pressure","Downside Drift")
   )
)</f>
        <v>Upside Drift</v>
      </c>
      <c r="G45" s="38" t="str">
        <f>IF(RawData!J45="","",
   IF(RawData!J45&lt;0,"Sell Into Close","Buy Into Close")
)</f>
        <v>Sell Into Close</v>
      </c>
      <c r="H45" s="38" t="b">
        <f>IF(
    RawData_Query[[#This Row],[CallWallStrike]]="",
    FALSE,
    ABS(RawData_Query[[#This Row],[CallWallStrike]] - RawData_Query[[#This Row],[Price]]) / RawData_Query[[#This Row],[Price]] &lt; 0.02
)</f>
        <v>0</v>
      </c>
      <c r="I45" s="38" t="b">
        <f>IF(
    RawData_Query[[#This Row],[PutWallStrike]]="",
    FALSE,
    ABS(RawData_Query[[#This Row],[PutWallStrike]] - RawData_Query[[#This Row],[Price]]) / RawData_Query[[#This Row],[Price]] &lt; 0.02
)</f>
        <v>0</v>
      </c>
      <c r="J45" s="38" t="str">
        <f>IF(RawData!G45="","",
   IF(RawData!G45 &lt; RawData!D45,"Below Flip","Above Flip")
)</f>
        <v>Below Flip</v>
      </c>
      <c r="K45" s="38">
        <f>IF(RawData!H45="","",
   (IF(LogicEngine!$D45="Long Gamma",10,0)) +
   (IF(RawData!K45&lt;0,10,0)) +
   (IF(AND(RawData!I45&lt;0,RawData!O45&gt;50),10,0)) +
   (IF(AND(RawData!I45&gt;0,RawData!O45&lt;50),10,0)) +
   (IF(ABS(RawData!E45 - RawData!D45)/RawData!D45 &lt; 0.02,5,0)) +
   (IF(RawData!G45&gt;RawData!D45,5,0)) +
   LogicEngine!$C45
)</f>
        <v>25</v>
      </c>
      <c r="L45" s="38">
        <f>IF(RawData!H45="","",
   (IF(LogicEngine!$D45="Short Gamma",10,0)) +
   (IF(RawData!K45&gt;0,10,0)) +
   (IF(AND(RawData!I45&gt;0,RawData!O45&gt;50),10,0)) +
   (IF(AND(RawData!I45&lt;0,RawData!O45&lt;50),10,0)) +
   (IF(ABS(RawData!F45 - RawData!D45)/RawData!D45 &lt; 0.02,5,0)) +
   (IF(RawData!G45&lt;RawData!D45,5,0)) +
   LogicEngine!$C45
)</f>
        <v>20</v>
      </c>
      <c r="M45" s="38" t="str">
        <f>IF(LogicEngine!$K45&gt;LogicEngine!$L45,"Call",
   IF(LogicEngine!$L45&gt;LogicEngine!$K45,"Put","Avoid")
)</f>
        <v>Call</v>
      </c>
      <c r="N45" s="38">
        <f>MAX(LogicEngine!$K45,LogicEngine!$L45)</f>
        <v>25</v>
      </c>
      <c r="O45" s="38" t="str">
        <f>IF(LogicEngine!$D45="","",
 "Bias: " &amp; LogicEngine!$M45 &amp;
 " | Regime: " &amp; LogicEngine!$D45 &amp;
 " | Delta: " &amp; LogicEngine!$E45 &amp;
 " | Vanna: " &amp; LogicEngine!$F45 &amp;
 " | Charm: " &amp; LogicEngine!$G45 &amp;
 " | Flip: " &amp; LogicEngine!$J45
)</f>
        <v>Bias: Call | Regime: Long Gamma | Delta: Dealers Long (Sell Rips) | Vanna: Upside Drift | Charm: Sell Into Close | Flip: Below Flip</v>
      </c>
    </row>
    <row r="46" spans="1:15">
      <c r="A46" s="37" t="str">
        <f>RawData!A46</f>
        <v>JNJ</v>
      </c>
      <c r="B46" s="37">
        <f>RawData!B46</f>
        <v>2</v>
      </c>
      <c r="C46" s="37">
        <f t="shared" si="1"/>
        <v>5</v>
      </c>
      <c r="D46" s="37" t="str">
        <f>IF(RawData!H46="","",
   IF(RawData!H46&gt;0,"Long Gamma","Short Gamma")
)</f>
        <v>Long Gamma</v>
      </c>
      <c r="E46" s="37" t="str">
        <f>IF(RawData!K46="","",
   IF(RawData!K46&gt;0,"Dealers Long (Sell Rips)","Dealers Short (Buy Rips)")
)</f>
        <v>Dealers Long (Sell Rips)</v>
      </c>
      <c r="F46" s="37" t="str">
        <f>IF(OR(RawData!I46="",RawData!O46=""),"",
   IF(RawData!I46&gt;0,
      IF(RawData!O46&gt;50,"Downside Pressure","Upside Drift"),
      IF(RawData!O46&gt;50,"Upside Pressure","Downside Drift")
   )
)</f>
        <v>Downside Pressure</v>
      </c>
      <c r="G46" s="37" t="str">
        <f>IF(RawData!J46="","",
   IF(RawData!J46&lt;0,"Sell Into Close","Buy Into Close")
)</f>
        <v>Sell Into Close</v>
      </c>
      <c r="H46" s="37" t="b">
        <f>IF(
    RawData_Query[[#This Row],[CallWallStrike]]="",
    FALSE,
    ABS(RawData_Query[[#This Row],[CallWallStrike]] - RawData_Query[[#This Row],[Price]]) / RawData_Query[[#This Row],[Price]] &lt; 0.02
)</f>
        <v>1</v>
      </c>
      <c r="I46" s="37" t="b">
        <f>IF(
    RawData_Query[[#This Row],[PutWallStrike]]="",
    FALSE,
    ABS(RawData_Query[[#This Row],[PutWallStrike]] - RawData_Query[[#This Row],[Price]]) / RawData_Query[[#This Row],[Price]] &lt; 0.02
)</f>
        <v>0</v>
      </c>
      <c r="J46" s="37" t="str">
        <f>IF(RawData!G46="","",
   IF(RawData!G46 &lt; RawData!D46,"Below Flip","Above Flip")
)</f>
        <v>Above Flip</v>
      </c>
      <c r="K46" s="37">
        <f>IF(RawData!H46="","",
   (IF(LogicEngine!$D46="Long Gamma",10,0)) +
   (IF(RawData!K46&lt;0,10,0)) +
   (IF(AND(RawData!I46&lt;0,RawData!O46&gt;50),10,0)) +
   (IF(AND(RawData!I46&gt;0,RawData!O46&lt;50),10,0)) +
   (IF(ABS(RawData!E46 - RawData!D46)/RawData!D46 &lt; 0.02,5,0)) +
   (IF(RawData!G46&gt;RawData!D46,5,0)) +
   LogicEngine!$C46
)</f>
        <v>25</v>
      </c>
      <c r="L46" s="37">
        <f>IF(RawData!H46="","",
   (IF(LogicEngine!$D46="Short Gamma",10,0)) +
   (IF(RawData!K46&gt;0,10,0)) +
   (IF(AND(RawData!I46&gt;0,RawData!O46&gt;50),10,0)) +
   (IF(AND(RawData!I46&lt;0,RawData!O46&lt;50),10,0)) +
   (IF(ABS(RawData!F46 - RawData!D46)/RawData!D46 &lt; 0.02,5,0)) +
   (IF(RawData!G46&lt;RawData!D46,5,0)) +
   LogicEngine!$C46
)</f>
        <v>25</v>
      </c>
      <c r="M46" s="37" t="str">
        <f>IF(LogicEngine!$K46&gt;LogicEngine!$L46,"Call",
   IF(LogicEngine!$L46&gt;LogicEngine!$K46,"Put","Avoid")
)</f>
        <v>Avoid</v>
      </c>
      <c r="N46" s="37">
        <f>MAX(LogicEngine!$K46,LogicEngine!$L46)</f>
        <v>25</v>
      </c>
      <c r="O46" s="37" t="str">
        <f>IF(LogicEngine!$D46="","",
 "Bias: " &amp; LogicEngine!$M46 &amp;
 " | Regime: " &amp; LogicEngine!$D46 &amp;
 " | Delta: " &amp; LogicEngine!$E46 &amp;
 " | Vanna: " &amp; LogicEngine!$F46 &amp;
 " | Charm: " &amp; LogicEngine!$G46 &amp;
 " | Flip: " &amp; LogicEngine!$J46
)</f>
        <v>Bias: Avoid | Regime: Long Gamma | Delta: Dealers Long (Sell Rips) | Vanna: Downside Pressure | Charm: Sell Into Close | Flip: Above Flip</v>
      </c>
    </row>
    <row r="47" spans="1:15">
      <c r="A47" s="38" t="str">
        <f>RawData!A47</f>
        <v>UNH</v>
      </c>
      <c r="B47" s="38">
        <f>RawData!B47</f>
        <v>2</v>
      </c>
      <c r="C47" s="38">
        <f t="shared" si="1"/>
        <v>5</v>
      </c>
      <c r="D47" s="38" t="str">
        <f>IF(RawData!H47="","",
   IF(RawData!H47&gt;0,"Long Gamma","Short Gamma")
)</f>
        <v>Short Gamma</v>
      </c>
      <c r="E47" s="38" t="str">
        <f>IF(RawData!K47="","",
   IF(RawData!K47&gt;0,"Dealers Long (Sell Rips)","Dealers Short (Buy Rips)")
)</f>
        <v>Dealers Long (Sell Rips)</v>
      </c>
      <c r="F47" s="38" t="str">
        <f>IF(OR(RawData!I47="",RawData!O47=""),"",
   IF(RawData!I47&gt;0,
      IF(RawData!O47&gt;50,"Downside Pressure","Upside Drift"),
      IF(RawData!O47&gt;50,"Upside Pressure","Downside Drift")
   )
)</f>
        <v>Upside Drift</v>
      </c>
      <c r="G47" s="38" t="str">
        <f>IF(RawData!J47="","",
   IF(RawData!J47&lt;0,"Sell Into Close","Buy Into Close")
)</f>
        <v>Sell Into Close</v>
      </c>
      <c r="H47" s="38" t="b">
        <f>IF(
    RawData_Query[[#This Row],[CallWallStrike]]="",
    FALSE,
    ABS(RawData_Query[[#This Row],[CallWallStrike]] - RawData_Query[[#This Row],[Price]]) / RawData_Query[[#This Row],[Price]] &lt; 0.02
)</f>
        <v>0</v>
      </c>
      <c r="I47" s="38" t="b">
        <f>IF(
    RawData_Query[[#This Row],[PutWallStrike]]="",
    FALSE,
    ABS(RawData_Query[[#This Row],[PutWallStrike]] - RawData_Query[[#This Row],[Price]]) / RawData_Query[[#This Row],[Price]] &lt; 0.02
)</f>
        <v>0</v>
      </c>
      <c r="J47" s="38" t="str">
        <f>IF(RawData!G47="","",
   IF(RawData!G47 &lt; RawData!D47,"Below Flip","Above Flip")
)</f>
        <v>Below Flip</v>
      </c>
      <c r="K47" s="38">
        <f>IF(RawData!H47="","",
   (IF(LogicEngine!$D47="Long Gamma",10,0)) +
   (IF(RawData!K47&lt;0,10,0)) +
   (IF(AND(RawData!I47&lt;0,RawData!O47&gt;50),10,0)) +
   (IF(AND(RawData!I47&gt;0,RawData!O47&lt;50),10,0)) +
   (IF(ABS(RawData!E47 - RawData!D47)/RawData!D47 &lt; 0.02,5,0)) +
   (IF(RawData!G47&gt;RawData!D47,5,0)) +
   LogicEngine!$C47
)</f>
        <v>15</v>
      </c>
      <c r="L47" s="38">
        <f>IF(RawData!H47="","",
   (IF(LogicEngine!$D47="Short Gamma",10,0)) +
   (IF(RawData!K47&gt;0,10,0)) +
   (IF(AND(RawData!I47&gt;0,RawData!O47&gt;50),10,0)) +
   (IF(AND(RawData!I47&lt;0,RawData!O47&lt;50),10,0)) +
   (IF(ABS(RawData!F47 - RawData!D47)/RawData!D47 &lt; 0.02,5,0)) +
   (IF(RawData!G47&lt;RawData!D47,5,0)) +
   LogicEngine!$C47
)</f>
        <v>30</v>
      </c>
      <c r="M47" s="38" t="str">
        <f>IF(LogicEngine!$K47&gt;LogicEngine!$L47,"Call",
   IF(LogicEngine!$L47&gt;LogicEngine!$K47,"Put","Avoid")
)</f>
        <v>Put</v>
      </c>
      <c r="N47" s="38">
        <f>MAX(LogicEngine!$K47,LogicEngine!$L47)</f>
        <v>30</v>
      </c>
      <c r="O47" s="38" t="str">
        <f>IF(LogicEngine!$D47="","",
 "Bias: " &amp; LogicEngine!$M47 &amp;
 " | Regime: " &amp; LogicEngine!$D47 &amp;
 " | Delta: " &amp; LogicEngine!$E47 &amp;
 " | Vanna: " &amp; LogicEngine!$F47 &amp;
 " | Charm: " &amp; LogicEngine!$G47 &amp;
 " | Flip: " &amp; LogicEngine!$J47
)</f>
        <v>Bias: Put | Regime: Short Gamma | Delta: Dealers Long (Sell Rips) | Vanna: Upside Drift | Charm: Sell Into Close | Flip: Below Flip</v>
      </c>
    </row>
    <row r="48" spans="1:15">
      <c r="A48" s="37" t="str">
        <f>RawData!A48</f>
        <v>TGT</v>
      </c>
      <c r="B48" s="37">
        <f>RawData!B48</f>
        <v>2</v>
      </c>
      <c r="C48" s="37">
        <f t="shared" si="1"/>
        <v>5</v>
      </c>
      <c r="D48" s="37" t="str">
        <f>IF(RawData!H48="","",
   IF(RawData!H48&gt;0,"Long Gamma","Short Gamma")
)</f>
        <v>Long Gamma</v>
      </c>
      <c r="E48" s="37" t="str">
        <f>IF(RawData!K48="","",
   IF(RawData!K48&gt;0,"Dealers Long (Sell Rips)","Dealers Short (Buy Rips)")
)</f>
        <v>Dealers Long (Sell Rips)</v>
      </c>
      <c r="F48" s="37" t="str">
        <f>IF(OR(RawData!I48="",RawData!O48=""),"",
   IF(RawData!I48&gt;0,
      IF(RawData!O48&gt;50,"Downside Pressure","Upside Drift"),
      IF(RawData!O48&gt;50,"Upside Pressure","Downside Drift")
   )
)</f>
        <v>Upside Drift</v>
      </c>
      <c r="G48" s="37" t="str">
        <f>IF(RawData!J48="","",
   IF(RawData!J48&lt;0,"Sell Into Close","Buy Into Close")
)</f>
        <v>Sell Into Close</v>
      </c>
      <c r="H48" s="37" t="b">
        <f>IF(
    RawData_Query[[#This Row],[CallWallStrike]]="",
    FALSE,
    ABS(RawData_Query[[#This Row],[CallWallStrike]] - RawData_Query[[#This Row],[Price]]) / RawData_Query[[#This Row],[Price]] &lt; 0.02
)</f>
        <v>0</v>
      </c>
      <c r="I48" s="37" t="b">
        <f>IF(
    RawData_Query[[#This Row],[PutWallStrike]]="",
    FALSE,
    ABS(RawData_Query[[#This Row],[PutWallStrike]] - RawData_Query[[#This Row],[Price]]) / RawData_Query[[#This Row],[Price]] &lt; 0.02
)</f>
        <v>0</v>
      </c>
      <c r="J48" s="37" t="str">
        <f>IF(RawData!G48="","",
   IF(RawData!G48 &lt; RawData!D48,"Below Flip","Above Flip")
)</f>
        <v>Below Flip</v>
      </c>
      <c r="K48" s="37">
        <f>IF(RawData!H48="","",
   (IF(LogicEngine!$D48="Long Gamma",10,0)) +
   (IF(RawData!K48&lt;0,10,0)) +
   (IF(AND(RawData!I48&lt;0,RawData!O48&gt;50),10,0)) +
   (IF(AND(RawData!I48&gt;0,RawData!O48&lt;50),10,0)) +
   (IF(ABS(RawData!E48 - RawData!D48)/RawData!D48 &lt; 0.02,5,0)) +
   (IF(RawData!G48&gt;RawData!D48,5,0)) +
   LogicEngine!$C48
)</f>
        <v>25</v>
      </c>
      <c r="L48" s="37">
        <f>IF(RawData!H48="","",
   (IF(LogicEngine!$D48="Short Gamma",10,0)) +
   (IF(RawData!K48&gt;0,10,0)) +
   (IF(AND(RawData!I48&gt;0,RawData!O48&gt;50),10,0)) +
   (IF(AND(RawData!I48&lt;0,RawData!O48&lt;50),10,0)) +
   (IF(ABS(RawData!F48 - RawData!D48)/RawData!D48 &lt; 0.02,5,0)) +
   (IF(RawData!G48&lt;RawData!D48,5,0)) +
   LogicEngine!$C48
)</f>
        <v>20</v>
      </c>
      <c r="M48" s="37" t="str">
        <f>IF(LogicEngine!$K48&gt;LogicEngine!$L48,"Call",
   IF(LogicEngine!$L48&gt;LogicEngine!$K48,"Put","Avoid")
)</f>
        <v>Call</v>
      </c>
      <c r="N48" s="37">
        <f>MAX(LogicEngine!$K48,LogicEngine!$L48)</f>
        <v>25</v>
      </c>
      <c r="O48" s="37" t="str">
        <f>IF(LogicEngine!$D48="","",
 "Bias: " &amp; LogicEngine!$M48 &amp;
 " | Regime: " &amp; LogicEngine!$D48 &amp;
 " | Delta: " &amp; LogicEngine!$E48 &amp;
 " | Vanna: " &amp; LogicEngine!$F48 &amp;
 " | Charm: " &amp; LogicEngine!$G48 &amp;
 " | Flip: " &amp; LogicEngine!$J48
)</f>
        <v>Bias: Call | Regime: Long Gamma | Delta: Dealers Long (Sell Rips) | Vanna: Upside Drift | Charm: Sell Into Close | Flip: Below Flip</v>
      </c>
    </row>
    <row r="49" spans="1:15">
      <c r="A49" s="38" t="str">
        <f>RawData!A49</f>
        <v>HD</v>
      </c>
      <c r="B49" s="38">
        <f>RawData!B49</f>
        <v>2</v>
      </c>
      <c r="C49" s="38">
        <f t="shared" si="1"/>
        <v>5</v>
      </c>
      <c r="D49" s="38" t="str">
        <f>IF(RawData!H49="","",
   IF(RawData!H49&gt;0,"Long Gamma","Short Gamma")
)</f>
        <v>Short Gamma</v>
      </c>
      <c r="E49" s="38" t="str">
        <f>IF(RawData!K49="","",
   IF(RawData!K49&gt;0,"Dealers Long (Sell Rips)","Dealers Short (Buy Rips)")
)</f>
        <v>Dealers Short (Buy Rips)</v>
      </c>
      <c r="F49" s="38" t="str">
        <f>IF(OR(RawData!I49="",RawData!O49=""),"",
   IF(RawData!I49&gt;0,
      IF(RawData!O49&gt;50,"Downside Pressure","Upside Drift"),
      IF(RawData!O49&gt;50,"Upside Pressure","Downside Drift")
   )
)</f>
        <v>Downside Pressure</v>
      </c>
      <c r="G49" s="38" t="str">
        <f>IF(RawData!J49="","",
   IF(RawData!J49&lt;0,"Sell Into Close","Buy Into Close")
)</f>
        <v>Sell Into Close</v>
      </c>
      <c r="H49" s="38" t="b">
        <f>IF(
    RawData_Query[[#This Row],[CallWallStrike]]="",
    FALSE,
    ABS(RawData_Query[[#This Row],[CallWallStrike]] - RawData_Query[[#This Row],[Price]]) / RawData_Query[[#This Row],[Price]] &lt; 0.02
)</f>
        <v>0</v>
      </c>
      <c r="I49" s="38" t="b">
        <f>IF(
    RawData_Query[[#This Row],[PutWallStrike]]="",
    FALSE,
    ABS(RawData_Query[[#This Row],[PutWallStrike]] - RawData_Query[[#This Row],[Price]]) / RawData_Query[[#This Row],[Price]] &lt; 0.02
)</f>
        <v>0</v>
      </c>
      <c r="J49" s="38" t="str">
        <f>IF(RawData!G49="","",
   IF(RawData!G49 &lt; RawData!D49,"Below Flip","Above Flip")
)</f>
        <v>Below Flip</v>
      </c>
      <c r="K49" s="38">
        <f>IF(RawData!H49="","",
   (IF(LogicEngine!$D49="Long Gamma",10,0)) +
   (IF(RawData!K49&lt;0,10,0)) +
   (IF(AND(RawData!I49&lt;0,RawData!O49&gt;50),10,0)) +
   (IF(AND(RawData!I49&gt;0,RawData!O49&lt;50),10,0)) +
   (IF(ABS(RawData!E49 - RawData!D49)/RawData!D49 &lt; 0.02,5,0)) +
   (IF(RawData!G49&gt;RawData!D49,5,0)) +
   LogicEngine!$C49
)</f>
        <v>15</v>
      </c>
      <c r="L49" s="38">
        <f>IF(RawData!H49="","",
   (IF(LogicEngine!$D49="Short Gamma",10,0)) +
   (IF(RawData!K49&gt;0,10,0)) +
   (IF(AND(RawData!I49&gt;0,RawData!O49&gt;50),10,0)) +
   (IF(AND(RawData!I49&lt;0,RawData!O49&lt;50),10,0)) +
   (IF(ABS(RawData!F49 - RawData!D49)/RawData!D49 &lt; 0.02,5,0)) +
   (IF(RawData!G49&lt;RawData!D49,5,0)) +
   LogicEngine!$C49
)</f>
        <v>30</v>
      </c>
      <c r="M49" s="38" t="str">
        <f>IF(LogicEngine!$K49&gt;LogicEngine!$L49,"Call",
   IF(LogicEngine!$L49&gt;LogicEngine!$K49,"Put","Avoid")
)</f>
        <v>Put</v>
      </c>
      <c r="N49" s="38">
        <f>MAX(LogicEngine!$K49,LogicEngine!$L49)</f>
        <v>30</v>
      </c>
      <c r="O49" s="38" t="str">
        <f>IF(LogicEngine!$D49="","",
 "Bias: " &amp; LogicEngine!$M49 &amp;
 " | Regime: " &amp; LogicEngine!$D49 &amp;
 " | Delta: " &amp; LogicEngine!$E49 &amp;
 " | Vanna: " &amp; LogicEngine!$F49 &amp;
 " | Charm: " &amp; LogicEngine!$G49 &amp;
 " | Flip: " &amp; LogicEngine!$J49
)</f>
        <v>Bias: Put | Regime: Short Gamma | Delta: Dealers Short (Buy Rips) | Vanna: Downside Pressure | Charm: Sell Into Close | Flip: Below Flip</v>
      </c>
    </row>
    <row r="50" spans="1:15">
      <c r="A50" s="37" t="str">
        <f>RawData!A50</f>
        <v>COST</v>
      </c>
      <c r="B50" s="37">
        <f>RawData!B50</f>
        <v>2</v>
      </c>
      <c r="C50" s="37">
        <f t="shared" si="1"/>
        <v>5</v>
      </c>
      <c r="D50" s="37" t="str">
        <f>IF(RawData!H50="","",
   IF(RawData!H50&gt;0,"Long Gamma","Short Gamma")
)</f>
        <v>Long Gamma</v>
      </c>
      <c r="E50" s="37" t="str">
        <f>IF(RawData!K50="","",
   IF(RawData!K50&gt;0,"Dealers Long (Sell Rips)","Dealers Short (Buy Rips)")
)</f>
        <v>Dealers Long (Sell Rips)</v>
      </c>
      <c r="F50" s="37" t="str">
        <f>IF(OR(RawData!I50="",RawData!O50=""),"",
   IF(RawData!I50&gt;0,
      IF(RawData!O50&gt;50,"Downside Pressure","Upside Drift"),
      IF(RawData!O50&gt;50,"Upside Pressure","Downside Drift")
   )
)</f>
        <v>Downside Pressure</v>
      </c>
      <c r="G50" s="37" t="str">
        <f>IF(RawData!J50="","",
   IF(RawData!J50&lt;0,"Sell Into Close","Buy Into Close")
)</f>
        <v>Sell Into Close</v>
      </c>
      <c r="H50" s="37" t="b">
        <f>IF(
    RawData_Query[[#This Row],[CallWallStrike]]="",
    FALSE,
    ABS(RawData_Query[[#This Row],[CallWallStrike]] - RawData_Query[[#This Row],[Price]]) / RawData_Query[[#This Row],[Price]] &lt; 0.02
)</f>
        <v>0</v>
      </c>
      <c r="I50" s="37" t="b">
        <f>IF(
    RawData_Query[[#This Row],[PutWallStrike]]="",
    FALSE,
    ABS(RawData_Query[[#This Row],[PutWallStrike]] - RawData_Query[[#This Row],[Price]]) / RawData_Query[[#This Row],[Price]] &lt; 0.02
)</f>
        <v>0</v>
      </c>
      <c r="J50" s="37" t="str">
        <f>IF(RawData!G50="","",
   IF(RawData!G50 &lt; RawData!D50,"Below Flip","Above Flip")
)</f>
        <v>Below Flip</v>
      </c>
      <c r="K50" s="37">
        <f>IF(RawData!H50="","",
   (IF(LogicEngine!$D50="Long Gamma",10,0)) +
   (IF(RawData!K50&lt;0,10,0)) +
   (IF(AND(RawData!I50&lt;0,RawData!O50&gt;50),10,0)) +
   (IF(AND(RawData!I50&gt;0,RawData!O50&lt;50),10,0)) +
   (IF(ABS(RawData!E50 - RawData!D50)/RawData!D50 &lt; 0.02,5,0)) +
   (IF(RawData!G50&gt;RawData!D50,5,0)) +
   LogicEngine!$C50
)</f>
        <v>15</v>
      </c>
      <c r="L50" s="37">
        <f>IF(RawData!H50="","",
   (IF(LogicEngine!$D50="Short Gamma",10,0)) +
   (IF(RawData!K50&gt;0,10,0)) +
   (IF(AND(RawData!I50&gt;0,RawData!O50&gt;50),10,0)) +
   (IF(AND(RawData!I50&lt;0,RawData!O50&lt;50),10,0)) +
   (IF(ABS(RawData!F50 - RawData!D50)/RawData!D50 &lt; 0.02,5,0)) +
   (IF(RawData!G50&lt;RawData!D50,5,0)) +
   LogicEngine!$C50
)</f>
        <v>30</v>
      </c>
      <c r="M50" s="37" t="str">
        <f>IF(LogicEngine!$K50&gt;LogicEngine!$L50,"Call",
   IF(LogicEngine!$L50&gt;LogicEngine!$K50,"Put","Avoid")
)</f>
        <v>Put</v>
      </c>
      <c r="N50" s="37">
        <f>MAX(LogicEngine!$K50,LogicEngine!$L50)</f>
        <v>30</v>
      </c>
      <c r="O50" s="37" t="str">
        <f>IF(LogicEngine!$D50="","",
 "Bias: " &amp; LogicEngine!$M50 &amp;
 " | Regime: " &amp; LogicEngine!$D50 &amp;
 " | Delta: " &amp; LogicEngine!$E50 &amp;
 " | Vanna: " &amp; LogicEngine!$F50 &amp;
 " | Charm: " &amp; LogicEngine!$G50 &amp;
 " | Flip: " &amp; LogicEngine!$J50
)</f>
        <v>Bias: Put | Regime: Long Gamma | Delta: Dealers Long (Sell Rips) | Vanna: Downside Pressure | Charm: Sell Into Close | Flip: Below Flip</v>
      </c>
    </row>
    <row r="51" spans="1:15">
      <c r="A51" s="38" t="str">
        <f>RawData!A51</f>
        <v>WMT</v>
      </c>
      <c r="B51" s="38">
        <f>RawData!B51</f>
        <v>2</v>
      </c>
      <c r="C51" s="38">
        <f t="shared" si="1"/>
        <v>5</v>
      </c>
      <c r="D51" s="38" t="str">
        <f>IF(RawData!H51="","",
   IF(RawData!H51&gt;0,"Long Gamma","Short Gamma")
)</f>
        <v>Short Gamma</v>
      </c>
      <c r="E51" s="38" t="str">
        <f>IF(RawData!K51="","",
   IF(RawData!K51&gt;0,"Dealers Long (Sell Rips)","Dealers Short (Buy Rips)")
)</f>
        <v>Dealers Long (Sell Rips)</v>
      </c>
      <c r="F51" s="38" t="str">
        <f>IF(OR(RawData!I51="",RawData!O51=""),"",
   IF(RawData!I51&gt;0,
      IF(RawData!O51&gt;50,"Downside Pressure","Upside Drift"),
      IF(RawData!O51&gt;50,"Upside Pressure","Downside Drift")
   )
)</f>
        <v>Upside Drift</v>
      </c>
      <c r="G51" s="38" t="str">
        <f>IF(RawData!J51="","",
   IF(RawData!J51&lt;0,"Sell Into Close","Buy Into Close")
)</f>
        <v>Sell Into Close</v>
      </c>
      <c r="H51" s="38" t="b">
        <f>IF(
    RawData_Query[[#This Row],[CallWallStrike]]="",
    FALSE,
    ABS(RawData_Query[[#This Row],[CallWallStrike]] - RawData_Query[[#This Row],[Price]]) / RawData_Query[[#This Row],[Price]] &lt; 0.02
)</f>
        <v>0</v>
      </c>
      <c r="I51" s="38" t="b">
        <f>IF(
    RawData_Query[[#This Row],[PutWallStrike]]="",
    FALSE,
    ABS(RawData_Query[[#This Row],[PutWallStrike]] - RawData_Query[[#This Row],[Price]]) / RawData_Query[[#This Row],[Price]] &lt; 0.02
)</f>
        <v>0</v>
      </c>
      <c r="J51" s="38" t="str">
        <f>IF(RawData!G51="","",
   IF(RawData!G51 &lt; RawData!D51,"Below Flip","Above Flip")
)</f>
        <v>Below Flip</v>
      </c>
      <c r="K51" s="38">
        <f>IF(RawData!H51="","",
   (IF(LogicEngine!$D51="Long Gamma",10,0)) +
   (IF(RawData!K51&lt;0,10,0)) +
   (IF(AND(RawData!I51&lt;0,RawData!O51&gt;50),10,0)) +
   (IF(AND(RawData!I51&gt;0,RawData!O51&lt;50),10,0)) +
   (IF(ABS(RawData!E51 - RawData!D51)/RawData!D51 &lt; 0.02,5,0)) +
   (IF(RawData!G51&gt;RawData!D51,5,0)) +
   LogicEngine!$C51
)</f>
        <v>15</v>
      </c>
      <c r="L51" s="38">
        <f>IF(RawData!H51="","",
   (IF(LogicEngine!$D51="Short Gamma",10,0)) +
   (IF(RawData!K51&gt;0,10,0)) +
   (IF(AND(RawData!I51&gt;0,RawData!O51&gt;50),10,0)) +
   (IF(AND(RawData!I51&lt;0,RawData!O51&lt;50),10,0)) +
   (IF(ABS(RawData!F51 - RawData!D51)/RawData!D51 &lt; 0.02,5,0)) +
   (IF(RawData!G51&lt;RawData!D51,5,0)) +
   LogicEngine!$C51
)</f>
        <v>30</v>
      </c>
      <c r="M51" s="38" t="str">
        <f>IF(LogicEngine!$K51&gt;LogicEngine!$L51,"Call",
   IF(LogicEngine!$L51&gt;LogicEngine!$K51,"Put","Avoid")
)</f>
        <v>Put</v>
      </c>
      <c r="N51" s="38">
        <f>MAX(LogicEngine!$K51,LogicEngine!$L51)</f>
        <v>30</v>
      </c>
      <c r="O51" s="38" t="str">
        <f>IF(LogicEngine!$D51="","",
 "Bias: " &amp; LogicEngine!$M51 &amp;
 " | Regime: " &amp; LogicEngine!$D51 &amp;
 " | Delta: " &amp; LogicEngine!$E51 &amp;
 " | Vanna: " &amp; LogicEngine!$F51 &amp;
 " | Charm: " &amp; LogicEngine!$G51 &amp;
 " | Flip: " &amp; LogicEngine!$J51
)</f>
        <v>Bias: Put | Regime: Short Gamma | Delta: Dealers Long (Sell Rips) | Vanna: Upside Drift | Charm: Sell Into Close | Flip: Below Flip</v>
      </c>
    </row>
    <row r="52" spans="1:15">
      <c r="A52" s="37" t="str">
        <f>RawData!A52</f>
        <v>MS</v>
      </c>
      <c r="B52" s="37">
        <f>RawData!B52</f>
        <v>1</v>
      </c>
      <c r="C52" s="37">
        <f t="shared" si="1"/>
        <v>10</v>
      </c>
      <c r="D52" s="37" t="str">
        <f>IF(RawData!H52="","",
   IF(RawData!H52&gt;0,"Long Gamma","Short Gamma")
)</f>
        <v>Long Gamma</v>
      </c>
      <c r="E52" s="37" t="str">
        <f>IF(RawData!K52="","",
   IF(RawData!K52&gt;0,"Dealers Long (Sell Rips)","Dealers Short (Buy Rips)")
)</f>
        <v>Dealers Long (Sell Rips)</v>
      </c>
      <c r="F52" s="37" t="str">
        <f>IF(OR(RawData!I52="",RawData!O52=""),"",
   IF(RawData!I52&gt;0,
      IF(RawData!O52&gt;50,"Downside Pressure","Upside Drift"),
      IF(RawData!O52&gt;50,"Upside Pressure","Downside Drift")
   )
)</f>
        <v>Upside Drift</v>
      </c>
      <c r="G52" s="37" t="str">
        <f>IF(RawData!J52="","",
   IF(RawData!J52&lt;0,"Sell Into Close","Buy Into Close")
)</f>
        <v>Sell Into Close</v>
      </c>
      <c r="H52" s="37" t="b">
        <f>IF(
    RawData_Query[[#This Row],[CallWallStrike]]="",
    FALSE,
    ABS(RawData_Query[[#This Row],[CallWallStrike]] - RawData_Query[[#This Row],[Price]]) / RawData_Query[[#This Row],[Price]] &lt; 0.02
)</f>
        <v>1</v>
      </c>
      <c r="I52" s="37" t="b">
        <f>IF(
    RawData_Query[[#This Row],[PutWallStrike]]="",
    FALSE,
    ABS(RawData_Query[[#This Row],[PutWallStrike]] - RawData_Query[[#This Row],[Price]]) / RawData_Query[[#This Row],[Price]] &lt; 0.02
)</f>
        <v>0</v>
      </c>
      <c r="J52" s="37" t="str">
        <f>IF(RawData!G52="","",
   IF(RawData!G52 &lt; RawData!D52,"Below Flip","Above Flip")
)</f>
        <v>Below Flip</v>
      </c>
      <c r="K52" s="37">
        <f>IF(RawData!H52="","",
   (IF(LogicEngine!$D52="Long Gamma",10,0)) +
   (IF(RawData!K52&lt;0,10,0)) +
   (IF(AND(RawData!I52&lt;0,RawData!O52&gt;50),10,0)) +
   (IF(AND(RawData!I52&gt;0,RawData!O52&lt;50),10,0)) +
   (IF(ABS(RawData!E52 - RawData!D52)/RawData!D52 &lt; 0.02,5,0)) +
   (IF(RawData!G52&gt;RawData!D52,5,0)) +
   LogicEngine!$C52
)</f>
        <v>35</v>
      </c>
      <c r="L52" s="37">
        <f>IF(RawData!H52="","",
   (IF(LogicEngine!$D52="Short Gamma",10,0)) +
   (IF(RawData!K52&gt;0,10,0)) +
   (IF(AND(RawData!I52&gt;0,RawData!O52&gt;50),10,0)) +
   (IF(AND(RawData!I52&lt;0,RawData!O52&lt;50),10,0)) +
   (IF(ABS(RawData!F52 - RawData!D52)/RawData!D52 &lt; 0.02,5,0)) +
   (IF(RawData!G52&lt;RawData!D52,5,0)) +
   LogicEngine!$C52
)</f>
        <v>25</v>
      </c>
      <c r="M52" s="37" t="str">
        <f>IF(LogicEngine!$K52&gt;LogicEngine!$L52,"Call",
   IF(LogicEngine!$L52&gt;LogicEngine!$K52,"Put","Avoid")
)</f>
        <v>Call</v>
      </c>
      <c r="N52" s="37">
        <f>MAX(LogicEngine!$K52,LogicEngine!$L52)</f>
        <v>35</v>
      </c>
      <c r="O52" s="37" t="str">
        <f>IF(LogicEngine!$D52="","",
 "Bias: " &amp; LogicEngine!$M52 &amp;
 " | Regime: " &amp; LogicEngine!$D52 &amp;
 " | Delta: " &amp; LogicEngine!$E52 &amp;
 " | Vanna: " &amp; LogicEngine!$F52 &amp;
 " | Charm: " &amp; LogicEngine!$G52 &amp;
 " | Flip: " &amp; LogicEngine!$J52
)</f>
        <v>Bias: Call | Regime: Long Gamma | Delta: Dealers Long (Sell Rips) | Vanna: Upside Drift | Charm: Sell Into Close | Flip: Below Flip</v>
      </c>
    </row>
    <row r="53" spans="1:15">
      <c r="A53" s="38" t="str">
        <f>RawData!A53</f>
        <v>GS</v>
      </c>
      <c r="B53" s="38">
        <f>RawData!B53</f>
        <v>1</v>
      </c>
      <c r="C53" s="38">
        <f t="shared" si="1"/>
        <v>10</v>
      </c>
      <c r="D53" s="38" t="str">
        <f>IF(RawData!H53="","",
   IF(RawData!H53&gt;0,"Long Gamma","Short Gamma")
)</f>
        <v>Short Gamma</v>
      </c>
      <c r="E53" s="38" t="str">
        <f>IF(RawData!K53="","",
   IF(RawData!K53&gt;0,"Dealers Long (Sell Rips)","Dealers Short (Buy Rips)")
)</f>
        <v>Dealers Long (Sell Rips)</v>
      </c>
      <c r="F53" s="38" t="str">
        <f>IF(OR(RawData!I53="",RawData!O53=""),"",
   IF(RawData!I53&gt;0,
      IF(RawData!O53&gt;50,"Downside Pressure","Upside Drift"),
      IF(RawData!O53&gt;50,"Upside Pressure","Downside Drift")
   )
)</f>
        <v>Upside Drift</v>
      </c>
      <c r="G53" s="38" t="str">
        <f>IF(RawData!J53="","",
   IF(RawData!J53&lt;0,"Sell Into Close","Buy Into Close")
)</f>
        <v>Sell Into Close</v>
      </c>
      <c r="H53" s="38" t="b">
        <f>IF(
    RawData_Query[[#This Row],[CallWallStrike]]="",
    FALSE,
    ABS(RawData_Query[[#This Row],[CallWallStrike]] - RawData_Query[[#This Row],[Price]]) / RawData_Query[[#This Row],[Price]] &lt; 0.02
)</f>
        <v>1</v>
      </c>
      <c r="I53" s="38" t="b">
        <f>IF(
    RawData_Query[[#This Row],[PutWallStrike]]="",
    FALSE,
    ABS(RawData_Query[[#This Row],[PutWallStrike]] - RawData_Query[[#This Row],[Price]]) / RawData_Query[[#This Row],[Price]] &lt; 0.02
)</f>
        <v>0</v>
      </c>
      <c r="J53" s="38" t="str">
        <f>IF(RawData!G53="","",
   IF(RawData!G53 &lt; RawData!D53,"Below Flip","Above Flip")
)</f>
        <v>Below Flip</v>
      </c>
      <c r="K53" s="38">
        <f>IF(RawData!H53="","",
   (IF(LogicEngine!$D53="Long Gamma",10,0)) +
   (IF(RawData!K53&lt;0,10,0)) +
   (IF(AND(RawData!I53&lt;0,RawData!O53&gt;50),10,0)) +
   (IF(AND(RawData!I53&gt;0,RawData!O53&lt;50),10,0)) +
   (IF(ABS(RawData!E53 - RawData!D53)/RawData!D53 &lt; 0.02,5,0)) +
   (IF(RawData!G53&gt;RawData!D53,5,0)) +
   LogicEngine!$C53
)</f>
        <v>25</v>
      </c>
      <c r="L53" s="38">
        <f>IF(RawData!H53="","",
   (IF(LogicEngine!$D53="Short Gamma",10,0)) +
   (IF(RawData!K53&gt;0,10,0)) +
   (IF(AND(RawData!I53&gt;0,RawData!O53&gt;50),10,0)) +
   (IF(AND(RawData!I53&lt;0,RawData!O53&lt;50),10,0)) +
   (IF(ABS(RawData!F53 - RawData!D53)/RawData!D53 &lt; 0.02,5,0)) +
   (IF(RawData!G53&lt;RawData!D53,5,0)) +
   LogicEngine!$C53
)</f>
        <v>35</v>
      </c>
      <c r="M53" s="38" t="str">
        <f>IF(LogicEngine!$K53&gt;LogicEngine!$L53,"Call",
   IF(LogicEngine!$L53&gt;LogicEngine!$K53,"Put","Avoid")
)</f>
        <v>Put</v>
      </c>
      <c r="N53" s="38">
        <f>MAX(LogicEngine!$K53,LogicEngine!$L53)</f>
        <v>35</v>
      </c>
      <c r="O53" s="38" t="str">
        <f>IF(LogicEngine!$D53="","",
 "Bias: " &amp; LogicEngine!$M53 &amp;
 " | Regime: " &amp; LogicEngine!$D53 &amp;
 " | Delta: " &amp; LogicEngine!$E53 &amp;
 " | Vanna: " &amp; LogicEngine!$F53 &amp;
 " | Charm: " &amp; LogicEngine!$G53 &amp;
 " | Flip: " &amp; LogicEngine!$J53
)</f>
        <v>Bias: Put | Regime: Short Gamma | Delta: Dealers Long (Sell Rips) | Vanna: Upside Drift | Charm: Sell Into Close | Flip: Below Flip</v>
      </c>
    </row>
    <row r="54" spans="1:15">
      <c r="A54" s="37" t="str">
        <f>RawData!A54</f>
        <v>JPM</v>
      </c>
      <c r="B54" s="37">
        <f>RawData!B54</f>
        <v>1</v>
      </c>
      <c r="C54" s="37">
        <f t="shared" si="1"/>
        <v>10</v>
      </c>
      <c r="D54" s="37" t="str">
        <f>IF(RawData!H54="","",
   IF(RawData!H54&gt;0,"Long Gamma","Short Gamma")
)</f>
        <v>Short Gamma</v>
      </c>
      <c r="E54" s="37" t="str">
        <f>IF(RawData!K54="","",
   IF(RawData!K54&gt;0,"Dealers Long (Sell Rips)","Dealers Short (Buy Rips)")
)</f>
        <v>Dealers Long (Sell Rips)</v>
      </c>
      <c r="F54" s="37" t="str">
        <f>IF(OR(RawData!I54="",RawData!O54=""),"",
   IF(RawData!I54&gt;0,
      IF(RawData!O54&gt;50,"Downside Pressure","Upside Drift"),
      IF(RawData!O54&gt;50,"Upside Pressure","Downside Drift")
   )
)</f>
        <v>Upside Drift</v>
      </c>
      <c r="G54" s="37" t="str">
        <f>IF(RawData!J54="","",
   IF(RawData!J54&lt;0,"Sell Into Close","Buy Into Close")
)</f>
        <v>Sell Into Close</v>
      </c>
      <c r="H54" s="37" t="b">
        <f>IF(
    RawData_Query[[#This Row],[CallWallStrike]]="",
    FALSE,
    ABS(RawData_Query[[#This Row],[CallWallStrike]] - RawData_Query[[#This Row],[Price]]) / RawData_Query[[#This Row],[Price]] &lt; 0.02
)</f>
        <v>0</v>
      </c>
      <c r="I54" s="37" t="b">
        <f>IF(
    RawData_Query[[#This Row],[PutWallStrike]]="",
    FALSE,
    ABS(RawData_Query[[#This Row],[PutWallStrike]] - RawData_Query[[#This Row],[Price]]) / RawData_Query[[#This Row],[Price]] &lt; 0.02
)</f>
        <v>0</v>
      </c>
      <c r="J54" s="37" t="str">
        <f>IF(RawData!G54="","",
   IF(RawData!G54 &lt; RawData!D54,"Below Flip","Above Flip")
)</f>
        <v>Below Flip</v>
      </c>
      <c r="K54" s="37">
        <f>IF(RawData!H54="","",
   (IF(LogicEngine!$D54="Long Gamma",10,0)) +
   (IF(RawData!K54&lt;0,10,0)) +
   (IF(AND(RawData!I54&lt;0,RawData!O54&gt;50),10,0)) +
   (IF(AND(RawData!I54&gt;0,RawData!O54&lt;50),10,0)) +
   (IF(ABS(RawData!E54 - RawData!D54)/RawData!D54 &lt; 0.02,5,0)) +
   (IF(RawData!G54&gt;RawData!D54,5,0)) +
   LogicEngine!$C54
)</f>
        <v>20</v>
      </c>
      <c r="L54" s="37">
        <f>IF(RawData!H54="","",
   (IF(LogicEngine!$D54="Short Gamma",10,0)) +
   (IF(RawData!K54&gt;0,10,0)) +
   (IF(AND(RawData!I54&gt;0,RawData!O54&gt;50),10,0)) +
   (IF(AND(RawData!I54&lt;0,RawData!O54&lt;50),10,0)) +
   (IF(ABS(RawData!F54 - RawData!D54)/RawData!D54 &lt; 0.02,5,0)) +
   (IF(RawData!G54&lt;RawData!D54,5,0)) +
   LogicEngine!$C54
)</f>
        <v>35</v>
      </c>
      <c r="M54" s="37" t="str">
        <f>IF(LogicEngine!$K54&gt;LogicEngine!$L54,"Call",
   IF(LogicEngine!$L54&gt;LogicEngine!$K54,"Put","Avoid")
)</f>
        <v>Put</v>
      </c>
      <c r="N54" s="37">
        <f>MAX(LogicEngine!$K54,LogicEngine!$L54)</f>
        <v>35</v>
      </c>
      <c r="O54" s="37" t="str">
        <f>IF(LogicEngine!$D54="","",
 "Bias: " &amp; LogicEngine!$M54 &amp;
 " | Regime: " &amp; LogicEngine!$D54 &amp;
 " | Delta: " &amp; LogicEngine!$E54 &amp;
 " | Vanna: " &amp; LogicEngine!$F54 &amp;
 " | Charm: " &amp; LogicEngine!$G54 &amp;
 " | Flip: " &amp; LogicEngine!$J54
)</f>
        <v>Bias: Put | Regime: Short Gamma | Delta: Dealers Long (Sell Rips) | Vanna: Upside Drift | Charm: Sell Into Close | Flip: Below Flip</v>
      </c>
    </row>
    <row r="55" spans="1:15">
      <c r="A55" s="38" t="str">
        <f>RawData!A55</f>
        <v>BAC</v>
      </c>
      <c r="B55" s="38">
        <f>RawData!B55</f>
        <v>1</v>
      </c>
      <c r="C55" s="38">
        <f t="shared" si="1"/>
        <v>10</v>
      </c>
      <c r="D55" s="38" t="str">
        <f>IF(RawData!H55="","",
   IF(RawData!H55&gt;0,"Long Gamma","Short Gamma")
)</f>
        <v>Long Gamma</v>
      </c>
      <c r="E55" s="38" t="str">
        <f>IF(RawData!K55="","",
   IF(RawData!K55&gt;0,"Dealers Long (Sell Rips)","Dealers Short (Buy Rips)")
)</f>
        <v>Dealers Long (Sell Rips)</v>
      </c>
      <c r="F55" s="38" t="str">
        <f>IF(OR(RawData!I55="",RawData!O55=""),"",
   IF(RawData!I55&gt;0,
      IF(RawData!O55&gt;50,"Downside Pressure","Upside Drift"),
      IF(RawData!O55&gt;50,"Upside Pressure","Downside Drift")
   )
)</f>
        <v>Upside Drift</v>
      </c>
      <c r="G55" s="38" t="str">
        <f>IF(RawData!J55="","",
   IF(RawData!J55&lt;0,"Sell Into Close","Buy Into Close")
)</f>
        <v>Sell Into Close</v>
      </c>
      <c r="H55" s="38" t="b">
        <f>IF(
    RawData_Query[[#This Row],[CallWallStrike]]="",
    FALSE,
    ABS(RawData_Query[[#This Row],[CallWallStrike]] - RawData_Query[[#This Row],[Price]]) / RawData_Query[[#This Row],[Price]] &lt; 0.02
)</f>
        <v>0</v>
      </c>
      <c r="I55" s="38" t="b">
        <f>IF(
    RawData_Query[[#This Row],[PutWallStrike]]="",
    FALSE,
    ABS(RawData_Query[[#This Row],[PutWallStrike]] - RawData_Query[[#This Row],[Price]]) / RawData_Query[[#This Row],[Price]] &lt; 0.02
)</f>
        <v>0</v>
      </c>
      <c r="J55" s="38" t="str">
        <f>IF(RawData!G55="","",
   IF(RawData!G55 &lt; RawData!D55,"Below Flip","Above Flip")
)</f>
        <v>Above Flip</v>
      </c>
      <c r="K55" s="38">
        <f>IF(RawData!H55="","",
   (IF(LogicEngine!$D55="Long Gamma",10,0)) +
   (IF(RawData!K55&lt;0,10,0)) +
   (IF(AND(RawData!I55&lt;0,RawData!O55&gt;50),10,0)) +
   (IF(AND(RawData!I55&gt;0,RawData!O55&lt;50),10,0)) +
   (IF(ABS(RawData!E55 - RawData!D55)/RawData!D55 &lt; 0.02,5,0)) +
   (IF(RawData!G55&gt;RawData!D55,5,0)) +
   LogicEngine!$C55
)</f>
        <v>35</v>
      </c>
      <c r="L55" s="38">
        <f>IF(RawData!H55="","",
   (IF(LogicEngine!$D55="Short Gamma",10,0)) +
   (IF(RawData!K55&gt;0,10,0)) +
   (IF(AND(RawData!I55&gt;0,RawData!O55&gt;50),10,0)) +
   (IF(AND(RawData!I55&lt;0,RawData!O55&lt;50),10,0)) +
   (IF(ABS(RawData!F55 - RawData!D55)/RawData!D55 &lt; 0.02,5,0)) +
   (IF(RawData!G55&lt;RawData!D55,5,0)) +
   LogicEngine!$C55
)</f>
        <v>20</v>
      </c>
      <c r="M55" s="38" t="str">
        <f>IF(LogicEngine!$K55&gt;LogicEngine!$L55,"Call",
   IF(LogicEngine!$L55&gt;LogicEngine!$K55,"Put","Avoid")
)</f>
        <v>Call</v>
      </c>
      <c r="N55" s="38">
        <f>MAX(LogicEngine!$K55,LogicEngine!$L55)</f>
        <v>35</v>
      </c>
      <c r="O55" s="38" t="str">
        <f>IF(LogicEngine!$D55="","",
 "Bias: " &amp; LogicEngine!$M55 &amp;
 " | Regime: " &amp; LogicEngine!$D55 &amp;
 " | Delta: " &amp; LogicEngine!$E55 &amp;
 " | Vanna: " &amp; LogicEngine!$F55 &amp;
 " | Charm: " &amp; LogicEngine!$G55 &amp;
 " | Flip: " &amp; LogicEngine!$J55
)</f>
        <v>Bias: Call | Regime: Long Gamma | Delta: Dealers Long (Sell Rips) | Vanna: Upside Drift | Charm: Sell Into Close | Flip: Above Flip</v>
      </c>
    </row>
    <row r="56" spans="1:15">
      <c r="A56" s="37" t="str">
        <f>RawData!A56</f>
        <v>SCHW</v>
      </c>
      <c r="B56" s="37">
        <f>RawData!B56</f>
        <v>2</v>
      </c>
      <c r="C56" s="37">
        <f t="shared" si="1"/>
        <v>5</v>
      </c>
      <c r="D56" s="37" t="str">
        <f>IF(RawData!H56="","",
   IF(RawData!H56&gt;0,"Long Gamma","Short Gamma")
)</f>
        <v>Short Gamma</v>
      </c>
      <c r="E56" s="37" t="str">
        <f>IF(RawData!K56="","",
   IF(RawData!K56&gt;0,"Dealers Long (Sell Rips)","Dealers Short (Buy Rips)")
)</f>
        <v>Dealers Short (Buy Rips)</v>
      </c>
      <c r="F56" s="37" t="str">
        <f>IF(OR(RawData!I56="",RawData!O56=""),"",
   IF(RawData!I56&gt;0,
      IF(RawData!O56&gt;50,"Downside Pressure","Upside Drift"),
      IF(RawData!O56&gt;50,"Upside Pressure","Downside Drift")
   )
)</f>
        <v>Upside Drift</v>
      </c>
      <c r="G56" s="37" t="str">
        <f>IF(RawData!J56="","",
   IF(RawData!J56&lt;0,"Sell Into Close","Buy Into Close")
)</f>
        <v>Sell Into Close</v>
      </c>
      <c r="H56" s="37" t="b">
        <f>IF(
    RawData_Query[[#This Row],[CallWallStrike]]="",
    FALSE,
    ABS(RawData_Query[[#This Row],[CallWallStrike]] - RawData_Query[[#This Row],[Price]]) / RawData_Query[[#This Row],[Price]] &lt; 0.02
)</f>
        <v>0</v>
      </c>
      <c r="I56" s="37" t="b">
        <f>IF(
    RawData_Query[[#This Row],[PutWallStrike]]="",
    FALSE,
    ABS(RawData_Query[[#This Row],[PutWallStrike]] - RawData_Query[[#This Row],[Price]]) / RawData_Query[[#This Row],[Price]] &lt; 0.02
)</f>
        <v>0</v>
      </c>
      <c r="J56" s="37" t="str">
        <f>IF(RawData!G56="","",
   IF(RawData!G56 &lt; RawData!D56,"Below Flip","Above Flip")
)</f>
        <v>Above Flip</v>
      </c>
      <c r="K56" s="37">
        <f>IF(RawData!H56="","",
   (IF(LogicEngine!$D56="Long Gamma",10,0)) +
   (IF(RawData!K56&lt;0,10,0)) +
   (IF(AND(RawData!I56&lt;0,RawData!O56&gt;50),10,0)) +
   (IF(AND(RawData!I56&gt;0,RawData!O56&lt;50),10,0)) +
   (IF(ABS(RawData!E56 - RawData!D56)/RawData!D56 &lt; 0.02,5,0)) +
   (IF(RawData!G56&gt;RawData!D56,5,0)) +
   LogicEngine!$C56
)</f>
        <v>30</v>
      </c>
      <c r="L56" s="37">
        <f>IF(RawData!H56="","",
   (IF(LogicEngine!$D56="Short Gamma",10,0)) +
   (IF(RawData!K56&gt;0,10,0)) +
   (IF(AND(RawData!I56&gt;0,RawData!O56&gt;50),10,0)) +
   (IF(AND(RawData!I56&lt;0,RawData!O56&lt;50),10,0)) +
   (IF(ABS(RawData!F56 - RawData!D56)/RawData!D56 &lt; 0.02,5,0)) +
   (IF(RawData!G56&lt;RawData!D56,5,0)) +
   LogicEngine!$C56
)</f>
        <v>15</v>
      </c>
      <c r="M56" s="37" t="str">
        <f>IF(LogicEngine!$K56&gt;LogicEngine!$L56,"Call",
   IF(LogicEngine!$L56&gt;LogicEngine!$K56,"Put","Avoid")
)</f>
        <v>Call</v>
      </c>
      <c r="N56" s="37">
        <f>MAX(LogicEngine!$K56,LogicEngine!$L56)</f>
        <v>30</v>
      </c>
      <c r="O56" s="37" t="str">
        <f>IF(LogicEngine!$D56="","",
 "Bias: " &amp; LogicEngine!$M56 &amp;
 " | Regime: " &amp; LogicEngine!$D56 &amp;
 " | Delta: " &amp; LogicEngine!$E56 &amp;
 " | Vanna: " &amp; LogicEngine!$F56 &amp;
 " | Charm: " &amp; LogicEngine!$G56 &amp;
 " | Flip: " &amp; LogicEngine!$J56
)</f>
        <v>Bias: Call | Regime: Short Gamma | Delta: Dealers Short (Buy Rips) | Vanna: Upside Drift | Charm: Sell Into Close | Flip: Above Flip</v>
      </c>
    </row>
    <row r="57" spans="1:15">
      <c r="A57" s="38" t="str">
        <f>RawData!A57</f>
        <v>SOFI</v>
      </c>
      <c r="B57" s="38">
        <f>RawData!B57</f>
        <v>2</v>
      </c>
      <c r="C57" s="38">
        <f t="shared" si="1"/>
        <v>5</v>
      </c>
      <c r="D57" s="38" t="str">
        <f>IF(RawData!H57="","",
   IF(RawData!H57&gt;0,"Long Gamma","Short Gamma")
)</f>
        <v>Long Gamma</v>
      </c>
      <c r="E57" s="38" t="str">
        <f>IF(RawData!K57="","",
   IF(RawData!K57&gt;0,"Dealers Long (Sell Rips)","Dealers Short (Buy Rips)")
)</f>
        <v>Dealers Long (Sell Rips)</v>
      </c>
      <c r="F57" s="38" t="str">
        <f>IF(OR(RawData!I57="",RawData!O57=""),"",
   IF(RawData!I57&gt;0,
      IF(RawData!O57&gt;50,"Downside Pressure","Upside Drift"),
      IF(RawData!O57&gt;50,"Upside Pressure","Downside Drift")
   )
)</f>
        <v>Upside Drift</v>
      </c>
      <c r="G57" s="38" t="str">
        <f>IF(RawData!J57="","",
   IF(RawData!J57&lt;0,"Sell Into Close","Buy Into Close")
)</f>
        <v>Sell Into Close</v>
      </c>
      <c r="H57" s="38" t="b">
        <f>IF(
    RawData_Query[[#This Row],[CallWallStrike]]="",
    FALSE,
    ABS(RawData_Query[[#This Row],[CallWallStrike]] - RawData_Query[[#This Row],[Price]]) / RawData_Query[[#This Row],[Price]] &lt; 0.02
)</f>
        <v>0</v>
      </c>
      <c r="I57" s="38" t="b">
        <f>IF(
    RawData_Query[[#This Row],[PutWallStrike]]="",
    FALSE,
    ABS(RawData_Query[[#This Row],[PutWallStrike]] - RawData_Query[[#This Row],[Price]]) / RawData_Query[[#This Row],[Price]] &lt; 0.02
)</f>
        <v>0</v>
      </c>
      <c r="J57" s="38" t="str">
        <f>IF(RawData!G57="","",
   IF(RawData!G57 &lt; RawData!D57,"Below Flip","Above Flip")
)</f>
        <v>Below Flip</v>
      </c>
      <c r="K57" s="38">
        <f>IF(RawData!H57="","",
   (IF(LogicEngine!$D57="Long Gamma",10,0)) +
   (IF(RawData!K57&lt;0,10,0)) +
   (IF(AND(RawData!I57&lt;0,RawData!O57&gt;50),10,0)) +
   (IF(AND(RawData!I57&gt;0,RawData!O57&lt;50),10,0)) +
   (IF(ABS(RawData!E57 - RawData!D57)/RawData!D57 &lt; 0.02,5,0)) +
   (IF(RawData!G57&gt;RawData!D57,5,0)) +
   LogicEngine!$C57
)</f>
        <v>25</v>
      </c>
      <c r="L57" s="38">
        <f>IF(RawData!H57="","",
   (IF(LogicEngine!$D57="Short Gamma",10,0)) +
   (IF(RawData!K57&gt;0,10,0)) +
   (IF(AND(RawData!I57&gt;0,RawData!O57&gt;50),10,0)) +
   (IF(AND(RawData!I57&lt;0,RawData!O57&lt;50),10,0)) +
   (IF(ABS(RawData!F57 - RawData!D57)/RawData!D57 &lt; 0.02,5,0)) +
   (IF(RawData!G57&lt;RawData!D57,5,0)) +
   LogicEngine!$C57
)</f>
        <v>20</v>
      </c>
      <c r="M57" s="38" t="str">
        <f>IF(LogicEngine!$K57&gt;LogicEngine!$L57,"Call",
   IF(LogicEngine!$L57&gt;LogicEngine!$K57,"Put","Avoid")
)</f>
        <v>Call</v>
      </c>
      <c r="N57" s="38">
        <f>MAX(LogicEngine!$K57,LogicEngine!$L57)</f>
        <v>25</v>
      </c>
      <c r="O57" s="38" t="str">
        <f>IF(LogicEngine!$D57="","",
 "Bias: " &amp; LogicEngine!$M57 &amp;
 " | Regime: " &amp; LogicEngine!$D57 &amp;
 " | Delta: " &amp; LogicEngine!$E57 &amp;
 " | Vanna: " &amp; LogicEngine!$F57 &amp;
 " | Charm: " &amp; LogicEngine!$G57 &amp;
 " | Flip: " &amp; LogicEngine!$J57
)</f>
        <v>Bias: Call | Regime: Long Gamma | Delta: Dealers Long (Sell Rips) | Vanna: Upside Drift | Charm: Sell Into Close | Flip: Below Flip</v>
      </c>
    </row>
    <row r="58" spans="1:15">
      <c r="A58" s="37" t="str">
        <f>RawData!A58</f>
        <v>WFC</v>
      </c>
      <c r="B58" s="37">
        <f>RawData!B58</f>
        <v>1</v>
      </c>
      <c r="C58" s="37">
        <f t="shared" si="1"/>
        <v>10</v>
      </c>
      <c r="D58" s="37" t="str">
        <f>IF(RawData!H58="","",
   IF(RawData!H58&gt;0,"Long Gamma","Short Gamma")
)</f>
        <v>Short Gamma</v>
      </c>
      <c r="E58" s="37" t="str">
        <f>IF(RawData!K58="","",
   IF(RawData!K58&gt;0,"Dealers Long (Sell Rips)","Dealers Short (Buy Rips)")
)</f>
        <v>Dealers Short (Buy Rips)</v>
      </c>
      <c r="F58" s="37" t="str">
        <f>IF(OR(RawData!I58="",RawData!O58=""),"",
   IF(RawData!I58&gt;0,
      IF(RawData!O58&gt;50,"Downside Pressure","Upside Drift"),
      IF(RawData!O58&gt;50,"Upside Pressure","Downside Drift")
   )
)</f>
        <v>Upside Drift</v>
      </c>
      <c r="G58" s="37" t="str">
        <f>IF(RawData!J58="","",
   IF(RawData!J58&lt;0,"Sell Into Close","Buy Into Close")
)</f>
        <v>Sell Into Close</v>
      </c>
      <c r="H58" s="37" t="b">
        <f>IF(
    RawData_Query[[#This Row],[CallWallStrike]]="",
    FALSE,
    ABS(RawData_Query[[#This Row],[CallWallStrike]] - RawData_Query[[#This Row],[Price]]) / RawData_Query[[#This Row],[Price]] &lt; 0.02
)</f>
        <v>0</v>
      </c>
      <c r="I58" s="37" t="b">
        <f>IF(
    RawData_Query[[#This Row],[PutWallStrike]]="",
    FALSE,
    ABS(RawData_Query[[#This Row],[PutWallStrike]] - RawData_Query[[#This Row],[Price]]) / RawData_Query[[#This Row],[Price]] &lt; 0.02
)</f>
        <v>0</v>
      </c>
      <c r="J58" s="37" t="str">
        <f>IF(RawData!G58="","",
   IF(RawData!G58 &lt; RawData!D58,"Below Flip","Above Flip")
)</f>
        <v>Above Flip</v>
      </c>
      <c r="K58" s="37">
        <f>IF(RawData!H58="","",
   (IF(LogicEngine!$D58="Long Gamma",10,0)) +
   (IF(RawData!K58&lt;0,10,0)) +
   (IF(AND(RawData!I58&lt;0,RawData!O58&gt;50),10,0)) +
   (IF(AND(RawData!I58&gt;0,RawData!O58&lt;50),10,0)) +
   (IF(ABS(RawData!E58 - RawData!D58)/RawData!D58 &lt; 0.02,5,0)) +
   (IF(RawData!G58&gt;RawData!D58,5,0)) +
   LogicEngine!$C58
)</f>
        <v>35</v>
      </c>
      <c r="L58" s="37">
        <f>IF(RawData!H58="","",
   (IF(LogicEngine!$D58="Short Gamma",10,0)) +
   (IF(RawData!K58&gt;0,10,0)) +
   (IF(AND(RawData!I58&gt;0,RawData!O58&gt;50),10,0)) +
   (IF(AND(RawData!I58&lt;0,RawData!O58&lt;50),10,0)) +
   (IF(ABS(RawData!F58 - RawData!D58)/RawData!D58 &lt; 0.02,5,0)) +
   (IF(RawData!G58&lt;RawData!D58,5,0)) +
   LogicEngine!$C58
)</f>
        <v>20</v>
      </c>
      <c r="M58" s="37" t="str">
        <f>IF(LogicEngine!$K58&gt;LogicEngine!$L58,"Call",
   IF(LogicEngine!$L58&gt;LogicEngine!$K58,"Put","Avoid")
)</f>
        <v>Call</v>
      </c>
      <c r="N58" s="37">
        <f>MAX(LogicEngine!$K58,LogicEngine!$L58)</f>
        <v>35</v>
      </c>
      <c r="O58" s="37" t="str">
        <f>IF(LogicEngine!$D58="","",
 "Bias: " &amp; LogicEngine!$M58 &amp;
 " | Regime: " &amp; LogicEngine!$D58 &amp;
 " | Delta: " &amp; LogicEngine!$E58 &amp;
 " | Vanna: " &amp; LogicEngine!$F58 &amp;
 " | Charm: " &amp; LogicEngine!$G58 &amp;
 " | Flip: " &amp; LogicEngine!$J58
)</f>
        <v>Bias: Call | Regime: Short Gamma | Delta: Dealers Short (Buy Rips) | Vanna: Upside Drift | Charm: Sell Into Close | Flip: Above Flip</v>
      </c>
    </row>
    <row r="59" spans="1:15">
      <c r="A59" s="38" t="str">
        <f>RawData!A59</f>
        <v>RIVN</v>
      </c>
      <c r="B59" s="38">
        <f>RawData!B59</f>
        <v>2</v>
      </c>
      <c r="C59" s="38">
        <f t="shared" si="1"/>
        <v>5</v>
      </c>
      <c r="D59" s="38" t="str">
        <f>IF(RawData!H59="","",
   IF(RawData!H59&gt;0,"Long Gamma","Short Gamma")
)</f>
        <v>Long Gamma</v>
      </c>
      <c r="E59" s="38" t="str">
        <f>IF(RawData!K59="","",
   IF(RawData!K59&gt;0,"Dealers Long (Sell Rips)","Dealers Short (Buy Rips)")
)</f>
        <v>Dealers Long (Sell Rips)</v>
      </c>
      <c r="F59" s="38" t="str">
        <f>IF(OR(RawData!I59="",RawData!O59=""),"",
   IF(RawData!I59&gt;0,
      IF(RawData!O59&gt;50,"Downside Pressure","Upside Drift"),
      IF(RawData!O59&gt;50,"Upside Pressure","Downside Drift")
   )
)</f>
        <v>Upside Drift</v>
      </c>
      <c r="G59" s="38" t="str">
        <f>IF(RawData!J59="","",
   IF(RawData!J59&lt;0,"Sell Into Close","Buy Into Close")
)</f>
        <v>Sell Into Close</v>
      </c>
      <c r="H59" s="38" t="b">
        <f>IF(
    RawData_Query[[#This Row],[CallWallStrike]]="",
    FALSE,
    ABS(RawData_Query[[#This Row],[CallWallStrike]] - RawData_Query[[#This Row],[Price]]) / RawData_Query[[#This Row],[Price]] &lt; 0.02
)</f>
        <v>0</v>
      </c>
      <c r="I59" s="38" t="b">
        <f>IF(
    RawData_Query[[#This Row],[PutWallStrike]]="",
    FALSE,
    ABS(RawData_Query[[#This Row],[PutWallStrike]] - RawData_Query[[#This Row],[Price]]) / RawData_Query[[#This Row],[Price]] &lt; 0.02
)</f>
        <v>0</v>
      </c>
      <c r="J59" s="38" t="str">
        <f>IF(RawData!G59="","",
   IF(RawData!G59 &lt; RawData!D59,"Below Flip","Above Flip")
)</f>
        <v>Below Flip</v>
      </c>
      <c r="K59" s="38">
        <f>IF(RawData!H59="","",
   (IF(LogicEngine!$D59="Long Gamma",10,0)) +
   (IF(RawData!K59&lt;0,10,0)) +
   (IF(AND(RawData!I59&lt;0,RawData!O59&gt;50),10,0)) +
   (IF(AND(RawData!I59&gt;0,RawData!O59&lt;50),10,0)) +
   (IF(ABS(RawData!E59 - RawData!D59)/RawData!D59 &lt; 0.02,5,0)) +
   (IF(RawData!G59&gt;RawData!D59,5,0)) +
   LogicEngine!$C59
)</f>
        <v>25</v>
      </c>
      <c r="L59" s="38">
        <f>IF(RawData!H59="","",
   (IF(LogicEngine!$D59="Short Gamma",10,0)) +
   (IF(RawData!K59&gt;0,10,0)) +
   (IF(AND(RawData!I59&gt;0,RawData!O59&gt;50),10,0)) +
   (IF(AND(RawData!I59&lt;0,RawData!O59&lt;50),10,0)) +
   (IF(ABS(RawData!F59 - RawData!D59)/RawData!D59 &lt; 0.02,5,0)) +
   (IF(RawData!G59&lt;RawData!D59,5,0)) +
   LogicEngine!$C59
)</f>
        <v>20</v>
      </c>
      <c r="M59" s="38" t="str">
        <f>IF(LogicEngine!$K59&gt;LogicEngine!$L59,"Call",
   IF(LogicEngine!$L59&gt;LogicEngine!$K59,"Put","Avoid")
)</f>
        <v>Call</v>
      </c>
      <c r="N59" s="38">
        <f>MAX(LogicEngine!$K59,LogicEngine!$L59)</f>
        <v>25</v>
      </c>
      <c r="O59" s="38" t="str">
        <f>IF(LogicEngine!$D59="","",
 "Bias: " &amp; LogicEngine!$M59 &amp;
 " | Regime: " &amp; LogicEngine!$D59 &amp;
 " | Delta: " &amp; LogicEngine!$E59 &amp;
 " | Vanna: " &amp; LogicEngine!$F59 &amp;
 " | Charm: " &amp; LogicEngine!$G59 &amp;
 " | Flip: " &amp; LogicEngine!$J59
)</f>
        <v>Bias: Call | Regime: Long Gamma | Delta: Dealers Long (Sell Rips) | Vanna: Upside Drift | Charm: Sell Into Close | Flip: Below Flip</v>
      </c>
    </row>
    <row r="60" spans="1:15">
      <c r="A60" s="37" t="str">
        <f>RawData!A60</f>
        <v>XLF</v>
      </c>
      <c r="B60" s="37">
        <f>RawData!B60</f>
        <v>1</v>
      </c>
      <c r="C60" s="37">
        <f t="shared" si="1"/>
        <v>10</v>
      </c>
      <c r="D60" s="37" t="str">
        <f>IF(RawData!H60="","",
   IF(RawData!H60&gt;0,"Long Gamma","Short Gamma")
)</f>
        <v>Short Gamma</v>
      </c>
      <c r="E60" s="37" t="str">
        <f>IF(RawData!K60="","",
   IF(RawData!K60&gt;0,"Dealers Long (Sell Rips)","Dealers Short (Buy Rips)")
)</f>
        <v>Dealers Short (Buy Rips)</v>
      </c>
      <c r="F60" s="37" t="str">
        <f>IF(OR(RawData!I60="",RawData!O60=""),"",
   IF(RawData!I60&gt;0,
      IF(RawData!O60&gt;50,"Downside Pressure","Upside Drift"),
      IF(RawData!O60&gt;50,"Upside Pressure","Downside Drift")
   )
)</f>
        <v>Upside Drift</v>
      </c>
      <c r="G60" s="37" t="str">
        <f>IF(RawData!J60="","",
   IF(RawData!J60&lt;0,"Sell Into Close","Buy Into Close")
)</f>
        <v>Sell Into Close</v>
      </c>
      <c r="H60" s="37" t="b">
        <f>IF(
    RawData_Query[[#This Row],[CallWallStrike]]="",
    FALSE,
    ABS(RawData_Query[[#This Row],[CallWallStrike]] - RawData_Query[[#This Row],[Price]]) / RawData_Query[[#This Row],[Price]] &lt; 0.02
)</f>
        <v>0</v>
      </c>
      <c r="I60" s="37" t="b">
        <f>IF(
    RawData_Query[[#This Row],[PutWallStrike]]="",
    FALSE,
    ABS(RawData_Query[[#This Row],[PutWallStrike]] - RawData_Query[[#This Row],[Price]]) / RawData_Query[[#This Row],[Price]] &lt; 0.02
)</f>
        <v>0</v>
      </c>
      <c r="J60" s="37" t="str">
        <f>IF(RawData!G60="","",
   IF(RawData!G60 &lt; RawData!D60,"Below Flip","Above Flip")
)</f>
        <v>Below Flip</v>
      </c>
      <c r="K60" s="37">
        <f>IF(RawData!H60="","",
   (IF(LogicEngine!$D60="Long Gamma",10,0)) +
   (IF(RawData!K60&lt;0,10,0)) +
   (IF(AND(RawData!I60&lt;0,RawData!O60&gt;50),10,0)) +
   (IF(AND(RawData!I60&gt;0,RawData!O60&lt;50),10,0)) +
   (IF(ABS(RawData!E60 - RawData!D60)/RawData!D60 &lt; 0.02,5,0)) +
   (IF(RawData!G60&gt;RawData!D60,5,0)) +
   LogicEngine!$C60
)</f>
        <v>30</v>
      </c>
      <c r="L60" s="37">
        <f>IF(RawData!H60="","",
   (IF(LogicEngine!$D60="Short Gamma",10,0)) +
   (IF(RawData!K60&gt;0,10,0)) +
   (IF(AND(RawData!I60&gt;0,RawData!O60&gt;50),10,0)) +
   (IF(AND(RawData!I60&lt;0,RawData!O60&lt;50),10,0)) +
   (IF(ABS(RawData!F60 - RawData!D60)/RawData!D60 &lt; 0.02,5,0)) +
   (IF(RawData!G60&lt;RawData!D60,5,0)) +
   LogicEngine!$C60
)</f>
        <v>25</v>
      </c>
      <c r="M60" s="37" t="str">
        <f>IF(LogicEngine!$K60&gt;LogicEngine!$L60,"Call",
   IF(LogicEngine!$L60&gt;LogicEngine!$K60,"Put","Avoid")
)</f>
        <v>Call</v>
      </c>
      <c r="N60" s="37">
        <f>MAX(LogicEngine!$K60,LogicEngine!$L60)</f>
        <v>30</v>
      </c>
      <c r="O60" s="37" t="str">
        <f>IF(LogicEngine!$D60="","",
 "Bias: " &amp; LogicEngine!$M60 &amp;
 " | Regime: " &amp; LogicEngine!$D60 &amp;
 " | Delta: " &amp; LogicEngine!$E60 &amp;
 " | Vanna: " &amp; LogicEngine!$F60 &amp;
 " | Charm: " &amp; LogicEngine!$G60 &amp;
 " | Flip: " &amp; LogicEngine!$J60
)</f>
        <v>Bias: Call | Regime: Short Gamma | Delta: Dealers Short (Buy Rips) | Vanna: Upside Drift | Charm: Sell Into Close | Flip: Below Flip</v>
      </c>
    </row>
    <row r="61" spans="1:15">
      <c r="A61" s="38" t="str">
        <f>RawData!A61</f>
        <v>XLK</v>
      </c>
      <c r="B61" s="38">
        <f>RawData!B61</f>
        <v>1</v>
      </c>
      <c r="C61" s="38">
        <f t="shared" si="1"/>
        <v>10</v>
      </c>
      <c r="D61" s="38" t="str">
        <f>IF(RawData!H61="","",
   IF(RawData!H61&gt;0,"Long Gamma","Short Gamma")
)</f>
        <v>Short Gamma</v>
      </c>
      <c r="E61" s="38" t="str">
        <f>IF(RawData!K61="","",
   IF(RawData!K61&gt;0,"Dealers Long (Sell Rips)","Dealers Short (Buy Rips)")
)</f>
        <v>Dealers Long (Sell Rips)</v>
      </c>
      <c r="F61" s="38" t="str">
        <f>IF(OR(RawData!I61="",RawData!O61=""),"",
   IF(RawData!I61&gt;0,
      IF(RawData!O61&gt;50,"Downside Pressure","Upside Drift"),
      IF(RawData!O61&gt;50,"Upside Pressure","Downside Drift")
   )
)</f>
        <v>Downside Pressure</v>
      </c>
      <c r="G61" s="38" t="str">
        <f>IF(RawData!J61="","",
   IF(RawData!J61&lt;0,"Sell Into Close","Buy Into Close")
)</f>
        <v>Sell Into Close</v>
      </c>
      <c r="H61" s="38" t="b">
        <f>IF(
    RawData_Query[[#This Row],[CallWallStrike]]="",
    FALSE,
    ABS(RawData_Query[[#This Row],[CallWallStrike]] - RawData_Query[[#This Row],[Price]]) / RawData_Query[[#This Row],[Price]] &lt; 0.02
)</f>
        <v>0</v>
      </c>
      <c r="I61" s="38" t="b">
        <f>IF(
    RawData_Query[[#This Row],[PutWallStrike]]="",
    FALSE,
    ABS(RawData_Query[[#This Row],[PutWallStrike]] - RawData_Query[[#This Row],[Price]]) / RawData_Query[[#This Row],[Price]] &lt; 0.02
)</f>
        <v>0</v>
      </c>
      <c r="J61" s="38" t="str">
        <f>IF(RawData!G61="","",
   IF(RawData!G61 &lt; RawData!D61,"Below Flip","Above Flip")
)</f>
        <v>Below Flip</v>
      </c>
      <c r="K61" s="38">
        <f>IF(RawData!H61="","",
   (IF(LogicEngine!$D61="Long Gamma",10,0)) +
   (IF(RawData!K61&lt;0,10,0)) +
   (IF(AND(RawData!I61&lt;0,RawData!O61&gt;50),10,0)) +
   (IF(AND(RawData!I61&gt;0,RawData!O61&lt;50),10,0)) +
   (IF(ABS(RawData!E61 - RawData!D61)/RawData!D61 &lt; 0.02,5,0)) +
   (IF(RawData!G61&gt;RawData!D61,5,0)) +
   LogicEngine!$C61
)</f>
        <v>10</v>
      </c>
      <c r="L61" s="38">
        <f>IF(RawData!H61="","",
   (IF(LogicEngine!$D61="Short Gamma",10,0)) +
   (IF(RawData!K61&gt;0,10,0)) +
   (IF(AND(RawData!I61&gt;0,RawData!O61&gt;50),10,0)) +
   (IF(AND(RawData!I61&lt;0,RawData!O61&lt;50),10,0)) +
   (IF(ABS(RawData!F61 - RawData!D61)/RawData!D61 &lt; 0.02,5,0)) +
   (IF(RawData!G61&lt;RawData!D61,5,0)) +
   LogicEngine!$C61
)</f>
        <v>45</v>
      </c>
      <c r="M61" s="38" t="str">
        <f>IF(LogicEngine!$K61&gt;LogicEngine!$L61,"Call",
   IF(LogicEngine!$L61&gt;LogicEngine!$K61,"Put","Avoid")
)</f>
        <v>Put</v>
      </c>
      <c r="N61" s="38">
        <f>MAX(LogicEngine!$K61,LogicEngine!$L61)</f>
        <v>45</v>
      </c>
      <c r="O61" s="38" t="str">
        <f>IF(LogicEngine!$D61="","",
 "Bias: " &amp; LogicEngine!$M61 &amp;
 " | Regime: " &amp; LogicEngine!$D61 &amp;
 " | Delta: " &amp; LogicEngine!$E61 &amp;
 " | Vanna: " &amp; LogicEngine!$F61 &amp;
 " | Charm: " &amp; LogicEngine!$G61 &amp;
 " | Flip: " &amp; LogicEngine!$J61
)</f>
        <v>Bias: Put | Regime: Short Gamma | Delta: Dealers Long (Sell Rips) | Vanna: Downside Pressure | Charm: Sell Into Close | Flip: Below Flip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8364C-32C0-4AA6-9761-FB99FECEAF42}">
  <sheetPr codeName="Sheet4"/>
  <dimension ref="A1:T48"/>
  <sheetViews>
    <sheetView zoomScale="85" zoomScaleNormal="85" workbookViewId="0">
      <selection activeCell="S1" sqref="S1"/>
    </sheetView>
  </sheetViews>
  <sheetFormatPr defaultRowHeight="15"/>
  <cols>
    <col min="1" max="1" width="14" customWidth="1"/>
    <col min="2" max="2" width="20.140625" customWidth="1"/>
    <col min="3" max="3" width="19.85546875" customWidth="1"/>
    <col min="4" max="4" width="15.7109375" customWidth="1"/>
    <col min="5" max="5" width="22.42578125" bestFit="1" customWidth="1"/>
    <col min="6" max="6" width="20" bestFit="1" customWidth="1"/>
    <col min="7" max="7" width="12.42578125" customWidth="1"/>
    <col min="8" max="8" width="10" customWidth="1"/>
    <col min="10" max="10" width="10.42578125" customWidth="1"/>
    <col min="11" max="11" width="20.140625" customWidth="1"/>
    <col min="12" max="12" width="15.140625" customWidth="1"/>
    <col min="13" max="13" width="15.7109375" customWidth="1"/>
    <col min="14" max="15" width="15.5703125" customWidth="1"/>
    <col min="16" max="16" width="10" customWidth="1"/>
  </cols>
  <sheetData>
    <row r="1" spans="1:19" ht="21">
      <c r="A1" s="35" t="s">
        <v>117</v>
      </c>
      <c r="B1" s="35"/>
      <c r="C1" s="35"/>
      <c r="D1" s="35"/>
      <c r="E1" s="35"/>
      <c r="F1" s="35"/>
      <c r="G1" s="35"/>
      <c r="J1" s="35" t="s">
        <v>115</v>
      </c>
      <c r="K1" s="35"/>
      <c r="L1" s="35"/>
      <c r="M1" s="35"/>
      <c r="N1" s="35"/>
      <c r="O1" s="35"/>
      <c r="P1" s="35"/>
      <c r="S1" t="str" cm="1">
        <f t="array" ref="S1">_xlfn.LET(
    _xlpm.tickers, LogicEngine!A2:A1000,
    _xlpm.notes,   LogicEngine!O2:O1000,
    _xlpm.callF,   LogicEngine!H2:H1000,
    _xlpm.putF,    LogicEngine!I2:I1000,
    _xlpm.mask,    (_xlpm.callF=TRUE) + (_xlpm.putF=TRUE),
    _xlpm.data,    CHOOSE({1,2}, _xlpm.tickers, _xlpm.notes),
    _xlpm.filtered, _xlfn._xlws.FILTER(_xlpm.data, _xlpm.mask&gt;0),
    IFERROR(_xlfn._xlws.SORT(_xlpm.filtered, 2, FALSE), "")
)</f>
        <v/>
      </c>
    </row>
    <row r="2" spans="1:19">
      <c r="A2" t="s">
        <v>0</v>
      </c>
      <c r="B2" t="s">
        <v>3</v>
      </c>
      <c r="C2" t="s">
        <v>4</v>
      </c>
      <c r="D2" t="s">
        <v>5</v>
      </c>
      <c r="E2" t="s">
        <v>6</v>
      </c>
      <c r="F2" t="s">
        <v>13</v>
      </c>
      <c r="G2" t="s">
        <v>14</v>
      </c>
      <c r="J2" t="s">
        <v>0</v>
      </c>
      <c r="K2" t="s">
        <v>3</v>
      </c>
      <c r="L2" t="s">
        <v>4</v>
      </c>
      <c r="M2" t="s">
        <v>5</v>
      </c>
      <c r="N2" t="s">
        <v>6</v>
      </c>
      <c r="O2" t="s">
        <v>13</v>
      </c>
      <c r="P2" t="s">
        <v>14</v>
      </c>
    </row>
    <row r="3" spans="1:19">
      <c r="A3" t="str" cm="1">
        <f t="array" ref="A3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3" t="str" cm="1">
        <f t="array" ref="J3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4" spans="1:19">
      <c r="A4" t="str" cm="1">
        <f t="array" ref="A4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4" t="str" cm="1">
        <f t="array" ref="J4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5" spans="1:19">
      <c r="A5" t="str" cm="1">
        <f t="array" ref="A5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5" t="str" cm="1">
        <f t="array" ref="J5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6" spans="1:19">
      <c r="A6" t="str" cm="1">
        <f t="array" ref="A6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6" t="str" cm="1">
        <f t="array" ref="J6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7" spans="1:19">
      <c r="A7" t="str" cm="1">
        <f t="array" ref="A7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7" t="str" cm="1">
        <f t="array" ref="J7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8" spans="1:19">
      <c r="A8" t="str" cm="1">
        <f t="array" ref="A8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8" t="str" cm="1">
        <f t="array" ref="J8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9" spans="1:19">
      <c r="A9" t="str" cm="1">
        <f t="array" ref="A9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9" t="str" cm="1">
        <f t="array" ref="J9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10" spans="1:19">
      <c r="A10" t="str" cm="1">
        <f t="array" ref="A10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10" t="str" cm="1">
        <f t="array" ref="J10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11" spans="1:19">
      <c r="A11" t="str" cm="1">
        <f t="array" ref="A11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11" t="str" cm="1">
        <f t="array" ref="J11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12" spans="1:19">
      <c r="A12" t="str" cm="1">
        <f t="array" ref="A12">IFERROR(
    _xlfn._xlws.SORT(
        _xlfn._xlws.FILTER(
            LogicEngine!$A$2:$N$61,
            (LogicEngine!$M$2:$M$61="Call")*(LogicEngine!$N$2:$N$61&gt;=60)
        ),
        4, FALSE
    ),
"No Call Setups Available")</f>
        <v>No Call Setups Available</v>
      </c>
      <c r="J12" t="str" cm="1">
        <f t="array" ref="J12">IFERROR(
    _xlfn._xlws.SORT(
        _xlfn._xlws.FILTER(
            LogicEngine!$A$2:$N$61,
            (LogicEngine!$M$2:$M$61="Put")*(LogicEngine!$N$2:$N$61&gt;=60)
        ),
        4, FALSE
    ),
"No Put Setups Available")</f>
        <v>No Put Setups Available</v>
      </c>
    </row>
    <row r="13" spans="1:19" ht="15.75" thickBot="1"/>
    <row r="14" spans="1:19" ht="15.75" thickBot="1">
      <c r="G14" t="s">
        <v>98</v>
      </c>
      <c r="H14" s="3" t="str">
        <f ca="1">TEXT(NOW(),"mm/dd/yyyy hh:mm AM/PM")</f>
        <v>05/26/2026 11:40 PM</v>
      </c>
      <c r="I14" s="4"/>
    </row>
    <row r="16" spans="1:19" ht="21.75" thickBot="1">
      <c r="A16" s="36" t="s">
        <v>114</v>
      </c>
      <c r="B16" s="35"/>
      <c r="C16" s="35"/>
      <c r="D16" s="35"/>
      <c r="E16" s="35"/>
      <c r="F16" s="35"/>
      <c r="J16" s="35" t="s">
        <v>116</v>
      </c>
      <c r="K16" s="35"/>
      <c r="L16" s="35"/>
      <c r="M16" s="35"/>
      <c r="N16" s="35"/>
      <c r="O16" s="35"/>
      <c r="P16" s="35"/>
      <c r="Q16" s="11"/>
    </row>
    <row r="17" spans="1:20">
      <c r="A17" s="27" t="s">
        <v>120</v>
      </c>
      <c r="B17" s="28" t="s">
        <v>1</v>
      </c>
      <c r="C17" s="28" t="s">
        <v>2</v>
      </c>
      <c r="D17" s="28" t="s">
        <v>83</v>
      </c>
      <c r="E17" s="28" t="s">
        <v>82</v>
      </c>
      <c r="F17" s="29" t="s">
        <v>81</v>
      </c>
      <c r="J17" s="31" t="s">
        <v>0</v>
      </c>
      <c r="K17" s="32" t="s">
        <v>3</v>
      </c>
      <c r="L17" s="32" t="s">
        <v>4</v>
      </c>
      <c r="M17" s="32" t="s">
        <v>5</v>
      </c>
      <c r="N17" s="32" t="s">
        <v>6</v>
      </c>
      <c r="O17" s="32" t="s">
        <v>13</v>
      </c>
      <c r="P17" s="33" t="s">
        <v>14</v>
      </c>
      <c r="T17" s="12"/>
    </row>
    <row r="18" spans="1:20">
      <c r="A18" s="19" t="str" cm="1">
        <f t="array" ref="A18:F27">_xlfn.TAKE(
    _xlfn.SORTBY(
        _xlfn.CHOOSECOLS(RawData_Query[],1,4,8,9,10,11),
        ABS(RawData_Query[NetGamma]/(RawData_Query[CallOiTotal]+RawData_Query[PutOiTotal])),
        -1
    ),
10)</f>
        <v>LLY</v>
      </c>
      <c r="B18" s="25">
        <v>1076.635</v>
      </c>
      <c r="C18" s="25">
        <v>72987598.960000023</v>
      </c>
      <c r="D18" s="25">
        <v>3784618.9600000009</v>
      </c>
      <c r="E18" s="25">
        <v>-2267114240.3499999</v>
      </c>
      <c r="F18" s="22">
        <v>22714504612.429993</v>
      </c>
      <c r="J18" s="13"/>
      <c r="K18" s="14"/>
      <c r="L18" s="14"/>
      <c r="M18" s="14"/>
      <c r="N18" s="14"/>
      <c r="O18" s="14"/>
      <c r="P18" s="15"/>
      <c r="T18" s="12"/>
    </row>
    <row r="19" spans="1:20">
      <c r="A19" s="20" t="str">
        <v>QQQ</v>
      </c>
      <c r="B19" s="26">
        <v>728.90499999999997</v>
      </c>
      <c r="C19" s="26">
        <v>-1218599347.24</v>
      </c>
      <c r="D19" s="26">
        <v>119920379.03999995</v>
      </c>
      <c r="E19" s="26">
        <v>-532818775748.83008</v>
      </c>
      <c r="F19" s="23">
        <v>435943657570.43005</v>
      </c>
      <c r="J19" s="16" t="str" cm="1">
        <f t="array" ref="J19">IFERROR(
    _xlfn._xlws.SORT(
        _xlfn._xlws.FILTER(
            _xlfn.CHOOSECOLS(LogicEngine!$A$2:$O$61,1,15),
            (LogicEngine!$H$2:$H$61) + (LogicEngine!$I$2:$I$61) &gt; 0
        ),
        2, FALSE
    ),
"")</f>
        <v/>
      </c>
      <c r="K19" s="17"/>
      <c r="L19" s="17"/>
      <c r="M19" s="17"/>
      <c r="N19" s="17"/>
      <c r="O19" s="17"/>
      <c r="P19" s="18"/>
      <c r="T19" s="12"/>
    </row>
    <row r="20" spans="1:20">
      <c r="A20" s="19" t="str">
        <v>AVGO</v>
      </c>
      <c r="B20" s="25">
        <v>427.86500000000001</v>
      </c>
      <c r="C20" s="25">
        <v>207059665.19999999</v>
      </c>
      <c r="D20" s="25">
        <v>13370664.019999998</v>
      </c>
      <c r="E20" s="25">
        <v>-41260676472.470009</v>
      </c>
      <c r="F20" s="22">
        <v>35629966490.929993</v>
      </c>
      <c r="J20" s="13" t="str" cm="1">
        <f t="array" ref="J20">IFERROR(
    _xlfn._xlws.SORT(
        _xlfn._xlws.FILTER(
            _xlfn.CHOOSECOLS(LogicEngine!$A$2:$O$61,1,15),
            (LogicEngine!$H$2:$H$61) + (LogicEngine!$I$2:$I$61) &gt; 0
        ),
        2, FALSE
    ),
"")</f>
        <v/>
      </c>
      <c r="K20" s="14"/>
      <c r="L20" s="14"/>
      <c r="M20" s="14"/>
      <c r="N20" s="14"/>
      <c r="O20" s="14"/>
      <c r="P20" s="15"/>
      <c r="T20" s="12"/>
    </row>
    <row r="21" spans="1:20">
      <c r="A21" s="20" t="str">
        <v>GOOG</v>
      </c>
      <c r="B21" s="26">
        <v>384.32</v>
      </c>
      <c r="C21" s="26">
        <v>183630611.77000001</v>
      </c>
      <c r="D21" s="26">
        <v>8374535.4099999964</v>
      </c>
      <c r="E21" s="26">
        <v>-4593768561.460001</v>
      </c>
      <c r="F21" s="23">
        <v>24987602562.819992</v>
      </c>
      <c r="J21" s="16" t="str" cm="1">
        <f t="array" ref="J21">IFERROR(
    _xlfn._xlws.SORT(
        _xlfn._xlws.FILTER(
            _xlfn.CHOOSECOLS(LogicEngine!$A$2:$O$61,1,15),
            (LogicEngine!$H$2:$H$61) + (LogicEngine!$I$2:$I$61) &gt; 0
        ),
        2, FALSE
    ),
"")</f>
        <v/>
      </c>
      <c r="K21" s="17"/>
      <c r="L21" s="17"/>
      <c r="M21" s="17"/>
      <c r="N21" s="17"/>
      <c r="O21" s="17"/>
      <c r="P21" s="18"/>
      <c r="T21" s="12"/>
    </row>
    <row r="22" spans="1:20">
      <c r="A22" s="19" t="str">
        <v>MS</v>
      </c>
      <c r="B22" s="25">
        <v>200.71</v>
      </c>
      <c r="C22" s="25">
        <v>34683641.589999996</v>
      </c>
      <c r="D22" s="25">
        <v>1821027.26</v>
      </c>
      <c r="E22" s="25">
        <v>-700709360.32000005</v>
      </c>
      <c r="F22" s="22">
        <v>3157784785.3199997</v>
      </c>
      <c r="J22" s="13" t="str" cm="1">
        <f t="array" ref="J22">IFERROR(
    _xlfn._xlws.SORT(
        _xlfn._xlws.FILTER(
            _xlfn.CHOOSECOLS(LogicEngine!$A$2:$O$61,1,15),
            (LogicEngine!$H$2:$H$61) + (LogicEngine!$I$2:$I$61) &gt; 0
        ),
        2, FALSE
    ),
"")</f>
        <v/>
      </c>
      <c r="K22" s="14"/>
      <c r="L22" s="14"/>
      <c r="M22" s="14"/>
      <c r="N22" s="14"/>
      <c r="O22" s="14"/>
      <c r="P22" s="15"/>
      <c r="T22" s="12"/>
    </row>
    <row r="23" spans="1:20">
      <c r="A23" s="20" t="str">
        <v>JNJ</v>
      </c>
      <c r="B23" s="26">
        <v>230.15</v>
      </c>
      <c r="C23" s="26">
        <v>30558612.450000003</v>
      </c>
      <c r="D23" s="26">
        <v>2645818.85</v>
      </c>
      <c r="E23" s="26">
        <v>-971972234.30000007</v>
      </c>
      <c r="F23" s="23">
        <v>2694704840.79</v>
      </c>
      <c r="J23" s="5" t="str" cm="1">
        <f t="array" ref="J23">IFERROR(
    _xlfn._xlws.SORT(
        _xlfn._xlws.FILTER(
            _xlfn.CHOOSECOLS(LogicEngine!$A$2:$O$61,1,15),
            (LogicEngine!$H$2:$H$61) + (LogicEngine!$I$2:$I$61) &gt; 0
        ),
        2, FALSE
    ),
"")</f>
        <v/>
      </c>
      <c r="K23" s="6"/>
      <c r="L23" s="6"/>
      <c r="M23" s="6"/>
      <c r="N23" s="6"/>
      <c r="O23" s="6"/>
      <c r="P23" s="7"/>
      <c r="T23" s="12"/>
    </row>
    <row r="24" spans="1:20">
      <c r="A24" s="19" t="str">
        <v>IWM</v>
      </c>
      <c r="B24" s="25">
        <v>289.27499999999998</v>
      </c>
      <c r="C24" s="25">
        <v>866581252.63999999</v>
      </c>
      <c r="D24" s="25">
        <v>51314237.950000003</v>
      </c>
      <c r="E24" s="25">
        <v>-138127598619.82001</v>
      </c>
      <c r="F24" s="22">
        <v>49512510770.459999</v>
      </c>
      <c r="T24" s="12"/>
    </row>
    <row r="25" spans="1:20">
      <c r="A25" s="20" t="str">
        <v>AMD</v>
      </c>
      <c r="B25" s="26">
        <v>491.74</v>
      </c>
      <c r="C25" s="26">
        <v>246104611.79999998</v>
      </c>
      <c r="D25" s="26">
        <v>23019419.68</v>
      </c>
      <c r="E25" s="26">
        <v>-8955776661.6499996</v>
      </c>
      <c r="F25" s="23">
        <v>91251525928.62001</v>
      </c>
    </row>
    <row r="26" spans="1:20">
      <c r="A26" s="19" t="str">
        <v>MSFT</v>
      </c>
      <c r="B26" s="25">
        <v>414.315</v>
      </c>
      <c r="C26" s="25">
        <v>-225498275.66999996</v>
      </c>
      <c r="D26" s="25">
        <v>17108420.949999999</v>
      </c>
      <c r="E26" s="25">
        <v>-9920894089.3500004</v>
      </c>
      <c r="F26" s="22">
        <v>5615665135.989996</v>
      </c>
    </row>
    <row r="27" spans="1:20" ht="15.75" thickBot="1">
      <c r="A27" s="21" t="str">
        <v>SPY</v>
      </c>
      <c r="B27" s="30">
        <v>750.56</v>
      </c>
      <c r="C27" s="30">
        <v>1028476522.7999997</v>
      </c>
      <c r="D27" s="30">
        <v>180353836.88999999</v>
      </c>
      <c r="E27" s="30">
        <v>-1064070711582.3699</v>
      </c>
      <c r="F27" s="24">
        <v>421753314793.82001</v>
      </c>
    </row>
    <row r="30" spans="1:20" ht="21">
      <c r="A30" s="35" t="s">
        <v>118</v>
      </c>
      <c r="B30" s="35"/>
      <c r="C30" s="35"/>
      <c r="D30" s="35"/>
      <c r="E30" s="35"/>
      <c r="F30" s="35"/>
      <c r="G30" s="35"/>
      <c r="H30" s="35"/>
      <c r="J30" s="35" t="s">
        <v>119</v>
      </c>
      <c r="K30" s="35"/>
      <c r="L30" s="35"/>
      <c r="M30" s="35"/>
      <c r="N30" s="35"/>
      <c r="O30" s="35"/>
      <c r="P30" s="35"/>
    </row>
    <row r="31" spans="1:20">
      <c r="A31" t="s">
        <v>0</v>
      </c>
      <c r="B31" t="s">
        <v>3</v>
      </c>
      <c r="C31" t="s">
        <v>4</v>
      </c>
      <c r="D31" t="s">
        <v>5</v>
      </c>
      <c r="E31" t="s">
        <v>6</v>
      </c>
      <c r="F31" t="s">
        <v>13</v>
      </c>
      <c r="G31" t="s">
        <v>9</v>
      </c>
      <c r="H31" t="s">
        <v>14</v>
      </c>
      <c r="J31" t="s">
        <v>0</v>
      </c>
      <c r="K31" t="s">
        <v>3</v>
      </c>
      <c r="L31" t="s">
        <v>4</v>
      </c>
      <c r="M31" t="s">
        <v>5</v>
      </c>
      <c r="N31" t="s">
        <v>6</v>
      </c>
      <c r="O31" t="s">
        <v>13</v>
      </c>
      <c r="P31" t="s">
        <v>14</v>
      </c>
    </row>
    <row r="32" spans="1:20">
      <c r="A32" t="str" cm="1">
        <f t="array" ref="A32">IFERROR(
    _xlfn._xlws.SORT(
        _xlfn._xlws.FILTER(
            LogicEngine!$A$2:$O$61,
            LogicEngine!$J$2:$J$61&lt;&gt;""
        ),
        6, FALSE
    ),
"")</f>
        <v/>
      </c>
      <c r="J32" t="str" cm="1">
        <f t="array" ref="J32">IFERROR(
    _xlfn._xlws.SORT(
        _xlfn._xlws.FILTER(
            LogicEngine!$A$2:$O$61,
            (LogicEngine!$G$2:$G$61="Buy Into Close") + (LogicEngine!$G$2:$G$61="Sell Into Close")
        ),
        6, FALSE
    ),
"")</f>
        <v/>
      </c>
    </row>
    <row r="33" spans="1:11">
      <c r="A33" t="str" cm="1">
        <f t="array" ref="A33">IFERROR(
    _xlfn._xlws.SORT(
        _xlfn._xlws.FILTER(
            LogicEngine!$A$2:$O$61,
            LogicEngine!$J$2:$J$61&lt;&gt;""
        ),
        6, FALSE
    ),
"")</f>
        <v/>
      </c>
      <c r="J33" t="str" cm="1">
        <f t="array" ref="J33">IFERROR(
    _xlfn._xlws.SORT(
        _xlfn._xlws.FILTER(
            LogicEngine!$A$2:$O$61,
            (LogicEngine!$G$2:$G$61="Buy Into Close") + (LogicEngine!$G$2:$G$61="Sell Into Close")
        ),
        6, FALSE
    ),
"")</f>
        <v/>
      </c>
    </row>
    <row r="34" spans="1:11">
      <c r="A34" t="str" cm="1">
        <f t="array" ref="A34">IFERROR(
    _xlfn._xlws.SORT(
        _xlfn._xlws.FILTER(
            LogicEngine!$A$2:$O$61,
            LogicEngine!$J$2:$J$61&lt;&gt;""
        ),
        6, FALSE
    ),
"")</f>
        <v/>
      </c>
      <c r="J34" t="str" cm="1">
        <f t="array" ref="J34">IFERROR(
    _xlfn._xlws.SORT(
        _xlfn._xlws.FILTER(
            LogicEngine!$A$2:$O$61,
            (LogicEngine!$G$2:$G$61="Buy Into Close") + (LogicEngine!$G$2:$G$61="Sell Into Close")
        ),
        6, FALSE
    ),
"")</f>
        <v/>
      </c>
    </row>
    <row r="35" spans="1:11">
      <c r="A35" t="str" cm="1">
        <f t="array" ref="A35">IFERROR(
    _xlfn._xlws.SORT(
        _xlfn._xlws.FILTER(
            LogicEngine!$A$2:$O$61,
            LogicEngine!$J$2:$J$61&lt;&gt;""
        ),
        6, FALSE
    ),
"")</f>
        <v/>
      </c>
      <c r="J35" t="str" cm="1">
        <f t="array" ref="J35">IFERROR(
    _xlfn._xlws.SORT(
        _xlfn._xlws.FILTER(
            LogicEngine!$A$2:$O$61,
            (LogicEngine!$G$2:$G$61="Buy Into Close") + (LogicEngine!$G$2:$G$61="Sell Into Close")
        ),
        6, FALSE
    ),
"")</f>
        <v/>
      </c>
    </row>
    <row r="36" spans="1:11">
      <c r="A36" t="str" cm="1">
        <f t="array" ref="A36">IFERROR(
    _xlfn._xlws.SORT(
        _xlfn._xlws.FILTER(
            LogicEngine!$A$2:$O$61,
            LogicEngine!$J$2:$J$61&lt;&gt;""
        ),
        6, FALSE
    ),
"")</f>
        <v/>
      </c>
      <c r="J36" t="str" cm="1">
        <f t="array" ref="J36">IFERROR(
    _xlfn._xlws.SORT(
        _xlfn._xlws.FILTER(
            LogicEngine!$A$2:$O$61,
            (LogicEngine!$G$2:$G$61="Buy Into Close") + (LogicEngine!$G$2:$G$61="Sell Into Close")
        ),
        6, FALSE
    ),
"")</f>
        <v/>
      </c>
    </row>
    <row r="37" spans="1:11">
      <c r="A37" t="str" cm="1">
        <f t="array" ref="A37">IFERROR(
    _xlfn._xlws.SORT(
        _xlfn._xlws.FILTER(
            LogicEngine!$A$2:$O$61,
            LogicEngine!$J$2:$J$61&lt;&gt;""
        ),
        6, FALSE
    ),
"")</f>
        <v/>
      </c>
      <c r="J37" t="str" cm="1">
        <f t="array" ref="J37">IFERROR(
    _xlfn._xlws.SORT(
        _xlfn._xlws.FILTER(
            LogicEngine!$A$2:$O$61,
            (LogicEngine!$G$2:$G$61="Buy Into Close") + (LogicEngine!$G$2:$G$61="Sell Into Close")
        ),
        6, FALSE
    ),
"")</f>
        <v/>
      </c>
    </row>
    <row r="42" spans="1:11">
      <c r="J42" t="str" cm="1">
        <f t="array" ref="J42:K48">_xlfn._xlws.FILTER(
    _xlfn.CHOOSECOLS(LogicEngine!$A$2:$O$61,1,15),
    (LogicEngine!$H$2:$H$61) + (LogicEngine!$I$2:$I$61) &gt; 0
)</f>
        <v>CSCO</v>
      </c>
      <c r="K42" t="str">
        <v>Bias: Put | Regime: Long Gamma | Delta: Dealers Long (Sell Rips) | Vanna: Downside Pressure | Charm: Sell Into Close | Flip: Below Flip</v>
      </c>
    </row>
    <row r="43" spans="1:11">
      <c r="J43" t="str">
        <v>NOW</v>
      </c>
      <c r="K43" t="str">
        <v>Bias: Put | Regime: Long Gamma | Delta: Dealers Long (Sell Rips) | Vanna: Downside Pressure | Charm: Sell Into Close | Flip: Below Flip</v>
      </c>
    </row>
    <row r="44" spans="1:11">
      <c r="J44" t="str">
        <v>QCOM</v>
      </c>
      <c r="K44" t="str">
        <v>Bias: Put | Regime: Short Gamma | Delta: Dealers Long (Sell Rips) | Vanna: Upside Pressure | Charm: Sell Into Close | Flip: Below Flip</v>
      </c>
    </row>
    <row r="45" spans="1:11">
      <c r="J45" t="str">
        <v>AVGO</v>
      </c>
      <c r="K45" t="str">
        <v>Bias: Put | Regime: Long Gamma | Delta: Dealers Long (Sell Rips) | Vanna: Downside Pressure | Charm: Sell Into Close | Flip: Below Flip</v>
      </c>
    </row>
    <row r="46" spans="1:11">
      <c r="J46" t="str">
        <v>JNJ</v>
      </c>
      <c r="K46" t="str">
        <v>Bias: Avoid | Regime: Long Gamma | Delta: Dealers Long (Sell Rips) | Vanna: Downside Pressure | Charm: Sell Into Close | Flip: Above Flip</v>
      </c>
    </row>
    <row r="47" spans="1:11">
      <c r="J47" t="str">
        <v>MS</v>
      </c>
      <c r="K47" t="str">
        <v>Bias: Call | Regime: Long Gamma | Delta: Dealers Long (Sell Rips) | Vanna: Upside Drift | Charm: Sell Into Close | Flip: Below Flip</v>
      </c>
    </row>
    <row r="48" spans="1:11">
      <c r="J48" t="str">
        <v>GS</v>
      </c>
      <c r="K48" t="str">
        <v>Bias: Put | Regime: Short Gamma | Delta: Dealers Long (Sell Rips) | Vanna: Upside Drift | Charm: Sell Into Close | Flip: Below Flip</v>
      </c>
    </row>
  </sheetData>
  <mergeCells count="6">
    <mergeCell ref="A30:H30"/>
    <mergeCell ref="J30:P30"/>
    <mergeCell ref="A16:F16"/>
    <mergeCell ref="A1:G1"/>
    <mergeCell ref="J1:P1"/>
    <mergeCell ref="J16:P16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55014-DE7F-4210-AD1B-3714E101CAC0}">
  <dimension ref="A1"/>
  <sheetViews>
    <sheetView workbookViewId="0">
      <selection activeCell="A2" sqref="A2"/>
    </sheetView>
  </sheetViews>
  <sheetFormatPr defaultRowHeight="15"/>
  <sheetData>
    <row r="1" spans="1:1">
      <c r="A1" t="str" cm="1">
        <f t="array" ref="A1">_xlfn.LET(
    _xlpm.tickers, LogicEngine!A2:A1000,
    _xlpm.notes,   LogicEngine!O2:O1000,
    _xlpm.callF,   LogicEngine!H2:H1000,
    _xlpm.putF,    LogicEngine!I2:I1000,
    _xlpm.mask,    (_xlpm.callF=TRUE) + (_xlpm.putF=TRUE),
    _xlpm.data,    CHOOSE({1,2}, _xlpm.tickers, _xlpm.notes),
    _xlpm.filtered, _xlfn._xlws.FILTER(_xlpm.data, _xlpm.mask&gt;0),
    IFERROR(_xlfn._xlws.SORT(_xlpm.filtered, 2, FALSE), "")
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1648-C6B5-4C48-8AE3-9D7CAC339007}">
  <dimension ref="A1:P29"/>
  <sheetViews>
    <sheetView workbookViewId="0">
      <selection activeCell="P6" sqref="P6:P20"/>
    </sheetView>
  </sheetViews>
  <sheetFormatPr defaultRowHeight="15"/>
  <sheetData>
    <row r="1" spans="1:16">
      <c r="A1" t="s">
        <v>99</v>
      </c>
      <c r="B1" s="8" t="s">
        <v>0</v>
      </c>
    </row>
    <row r="2" spans="1:16">
      <c r="A2" t="s">
        <v>100</v>
      </c>
      <c r="B2" s="10" t="s">
        <v>16</v>
      </c>
    </row>
    <row r="3" spans="1:16">
      <c r="A3" t="s">
        <v>101</v>
      </c>
      <c r="B3" s="10" t="s">
        <v>15</v>
      </c>
    </row>
    <row r="4" spans="1:16">
      <c r="A4" t="s">
        <v>102</v>
      </c>
      <c r="B4" s="10" t="s">
        <v>3</v>
      </c>
    </row>
    <row r="5" spans="1:16">
      <c r="A5" t="s">
        <v>103</v>
      </c>
      <c r="B5" s="10" t="s">
        <v>4</v>
      </c>
    </row>
    <row r="6" spans="1:16">
      <c r="A6" t="s">
        <v>104</v>
      </c>
      <c r="B6" s="10" t="s">
        <v>5</v>
      </c>
      <c r="P6" s="8" t="s">
        <v>0</v>
      </c>
    </row>
    <row r="7" spans="1:16">
      <c r="A7" t="s">
        <v>105</v>
      </c>
      <c r="B7" s="10" t="s">
        <v>6</v>
      </c>
      <c r="P7" s="10" t="s">
        <v>16</v>
      </c>
    </row>
    <row r="8" spans="1:16">
      <c r="A8" t="s">
        <v>106</v>
      </c>
      <c r="B8" s="10" t="s">
        <v>7</v>
      </c>
      <c r="P8" s="10" t="s">
        <v>15</v>
      </c>
    </row>
    <row r="9" spans="1:16">
      <c r="A9" t="s">
        <v>107</v>
      </c>
      <c r="B9" s="10" t="s">
        <v>8</v>
      </c>
      <c r="P9" s="10" t="s">
        <v>3</v>
      </c>
    </row>
    <row r="10" spans="1:16">
      <c r="A10" t="s">
        <v>108</v>
      </c>
      <c r="B10" s="10" t="s">
        <v>9</v>
      </c>
      <c r="P10" s="10" t="s">
        <v>4</v>
      </c>
    </row>
    <row r="11" spans="1:16">
      <c r="A11" t="s">
        <v>109</v>
      </c>
      <c r="B11" s="10" t="s">
        <v>10</v>
      </c>
      <c r="P11" s="10" t="s">
        <v>5</v>
      </c>
    </row>
    <row r="12" spans="1:16">
      <c r="A12" t="s">
        <v>110</v>
      </c>
      <c r="B12" s="10" t="s">
        <v>11</v>
      </c>
      <c r="P12" s="10" t="s">
        <v>6</v>
      </c>
    </row>
    <row r="13" spans="1:16">
      <c r="A13" t="s">
        <v>111</v>
      </c>
      <c r="B13" s="10" t="s">
        <v>12</v>
      </c>
      <c r="J13" t="b">
        <f>ISTEXT(LogicEngine!$H13)</f>
        <v>0</v>
      </c>
      <c r="P13" s="10" t="s">
        <v>7</v>
      </c>
    </row>
    <row r="14" spans="1:16">
      <c r="A14" t="s">
        <v>112</v>
      </c>
      <c r="B14" s="10" t="s">
        <v>13</v>
      </c>
      <c r="J14" t="b">
        <f>ISLOGICAL(LogicEngine!$H14)</f>
        <v>1</v>
      </c>
      <c r="P14" s="10" t="s">
        <v>8</v>
      </c>
    </row>
    <row r="15" spans="1:16">
      <c r="A15" t="s">
        <v>113</v>
      </c>
      <c r="B15" s="9" t="s">
        <v>14</v>
      </c>
      <c r="J15">
        <f>LEN(LogicEngine!$H15)</f>
        <v>5</v>
      </c>
      <c r="P15" s="10" t="s">
        <v>9</v>
      </c>
    </row>
    <row r="16" spans="1:16">
      <c r="P16" s="10" t="s">
        <v>10</v>
      </c>
    </row>
    <row r="17" spans="10:16">
      <c r="P17" s="10" t="s">
        <v>11</v>
      </c>
    </row>
    <row r="18" spans="10:16">
      <c r="P18" s="10" t="s">
        <v>12</v>
      </c>
    </row>
    <row r="19" spans="10:16">
      <c r="P19" s="10" t="s">
        <v>13</v>
      </c>
    </row>
    <row r="20" spans="10:16">
      <c r="J20">
        <f>COUNTIF(LogicEngine!$H$2:$H$61,TRUE)</f>
        <v>7</v>
      </c>
      <c r="P20" s="9" t="s">
        <v>14</v>
      </c>
    </row>
    <row r="21" spans="10:16">
      <c r="J21">
        <f>ROWS(_xlfn.CHOOSECOLS(LogicEngine!$A$2:$O$61,1,15))</f>
        <v>60</v>
      </c>
    </row>
    <row r="22" spans="10:16">
      <c r="J22">
        <f>ROWS(LogicEngine!$H$2:$H$61)</f>
        <v>60</v>
      </c>
    </row>
    <row r="23" spans="10:16">
      <c r="J23">
        <f>ROWS(LogicEngine!$I$2:$I$61)</f>
        <v>60</v>
      </c>
    </row>
    <row r="24" spans="10:16">
      <c r="J24">
        <f>ROWS(_xlfn.CHOOSECOLS(LogicEngine!$A$2:$O$61,1,15))</f>
        <v>60</v>
      </c>
    </row>
    <row r="27" spans="10:16">
      <c r="J27">
        <f>ABS(RawData!E20 - RawData!D20)/RawData!D20</f>
        <v>1.5228426395939063E-2</v>
      </c>
    </row>
    <row r="28" spans="10:16">
      <c r="J28" t="str">
        <f>RawData!A20</f>
        <v>CSCO</v>
      </c>
    </row>
    <row r="29" spans="10:16">
      <c r="J29" s="34">
        <f>RawData!D20</f>
        <v>118.2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A69B32-774F-498F-B0E3-51345FCFCC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Universe</vt:lpstr>
      <vt:lpstr>RawData</vt:lpstr>
      <vt:lpstr>LogicEngine</vt:lpstr>
      <vt:lpstr>Dashboard</vt:lpstr>
      <vt:lpstr>Dashboard2</vt:lpstr>
      <vt:lpstr>Sheet1</vt:lpstr>
      <vt:lpstr>LastRefresh</vt:lpstr>
      <vt:lpstr>NearKeyWalls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Pointek</dc:creator>
  <cp:lastModifiedBy>Michael Pointek</cp:lastModifiedBy>
  <dcterms:created xsi:type="dcterms:W3CDTF">2026-05-22T20:29:23Z</dcterms:created>
  <dcterms:modified xsi:type="dcterms:W3CDTF">2026-05-27T03:49:38Z</dcterms:modified>
</cp:coreProperties>
</file>